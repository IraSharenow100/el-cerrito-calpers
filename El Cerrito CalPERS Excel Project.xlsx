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tables/table4.xml" ContentType="application/vnd.openxmlformats-officedocument.spreadsheetml.table+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5.xml" ContentType="application/vnd.openxmlformats-officedocument.spreadsheetml.table+xml"/>
  <Override PartName="/xl/pivotTables/pivotTable9.xml" ContentType="application/vnd.openxmlformats-officedocument.spreadsheetml.pivotTable+xml"/>
  <Override PartName="/xl/drawings/drawing6.xml" ContentType="application/vnd.openxmlformats-officedocument.drawing+xml"/>
  <Override PartName="/xl/tables/table6.xml" ContentType="application/vnd.openxmlformats-officedocument.spreadsheetml.table+xml"/>
  <Override PartName="/xl/slicers/slicer5.xml" ContentType="application/vnd.ms-excel.slicer+xml"/>
  <Override PartName="/xl/drawings/drawing7.xml" ContentType="application/vnd.openxmlformats-officedocument.drawing+xml"/>
  <Override PartName="/xl/tables/table7.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9.xml" ContentType="application/vnd.openxmlformats-officedocument.drawing+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mc:AlternateContent xmlns:mc="http://schemas.openxmlformats.org/markup-compatibility/2006">
    <mc:Choice Requires="x15">
      <x15ac:absPath xmlns:x15ac="http://schemas.microsoft.com/office/spreadsheetml/2010/11/ac" url="D:\Documents\Employment\2025 job search\Project 2025\CalPERS Project\Project Documents\Git Submission\"/>
    </mc:Choice>
  </mc:AlternateContent>
  <xr:revisionPtr revIDLastSave="0" documentId="13_ncr:1_{74DEA8EE-E041-42F0-ABB7-DE79E9FCCA4D}" xr6:coauthVersionLast="47" xr6:coauthVersionMax="47" xr10:uidLastSave="{00000000-0000-0000-0000-000000000000}"/>
  <bookViews>
    <workbookView xWindow="-120" yWindow="-120" windowWidth="29040" windowHeight="15720" xr2:uid="{00000000-000D-0000-FFFF-FFFF00000000}"/>
  </bookViews>
  <sheets>
    <sheet name="Cover" sheetId="16" r:id="rId1"/>
    <sheet name="Table of Contents" sheetId="15" r:id="rId2"/>
    <sheet name="Amort Sch" sheetId="4" r:id="rId3"/>
    <sheet name="Proj Emply Contrib" sheetId="10" r:id="rId4"/>
    <sheet name="Projected Amortization Schedule" sheetId="11" r:id="rId5"/>
    <sheet name="Employer Contribution History" sheetId="12" r:id="rId6"/>
    <sheet name="Funded History" sheetId="6" r:id="rId7"/>
    <sheet name="Funding History" sheetId="13" r:id="rId8"/>
    <sheet name="UAL Summary" sheetId="1" r:id="rId9"/>
    <sheet name="Funded Ratio" sheetId="2" r:id="rId10"/>
    <sheet name="Funded Ratio1" sheetId="14" r:id="rId11"/>
    <sheet name="Funded Ratio Discount Rate" sheetId="3" r:id="rId12"/>
    <sheet name="Liability Volatility Ratio" sheetId="9" r:id="rId13"/>
    <sheet name="Support Ratio" sheetId="7" r:id="rId14"/>
    <sheet name="Contribution Volatility" sheetId="8" r:id="rId15"/>
    <sheet name="Amort 2026 Classic Safety" sheetId="5" r:id="rId16"/>
  </sheets>
  <definedNames>
    <definedName name="Amort2026">Composite_Amort2026ClassicSafe[[#Headers],[FY]]</definedName>
    <definedName name="AmortSch3">Composite_AmortSch[[#Headers],[FY]]</definedName>
    <definedName name="AmrtSch">'Amort Sch'!$A$1</definedName>
    <definedName name="CV_15">Composite_ContributionVolatili[[#Headers],[Category]]</definedName>
    <definedName name="EmployerContribHist6">Table12[[#Headers],[Valuation
Date]]</definedName>
    <definedName name="Funded_Ratio_Discount_Rate12">Composite_FundedRatioDiscountR[[#Headers],[Discount_Rate]]</definedName>
    <definedName name="FundedHist7">'Funded History'!$G$1</definedName>
    <definedName name="FundedRatio1_11">'Funded Ratio1'!$A$1</definedName>
    <definedName name="FundedRatio10">Composite_FundedRatio[[#Headers],[Category_20230630]]</definedName>
    <definedName name="FundingHist8">Table13[[#Headers],[Funded
Ratio]]</definedName>
    <definedName name="LVR_13">Composite_LiabilityVolatilityR[[#Headers],[ValuationDate]]</definedName>
    <definedName name="ProjAmortSched5">ProjAmortSched[[#Headers],[FY]]</definedName>
    <definedName name="ProjEmplContrib4">Table11[[#Headers],[FY]]</definedName>
    <definedName name="ProjEmplyContrib">'Proj Emply Contrib'!$A$1</definedName>
    <definedName name="Slicer_Plan">#N/A</definedName>
    <definedName name="Slicer_Plan1">#N/A</definedName>
    <definedName name="Slicer_Plan2">#N/A</definedName>
    <definedName name="Slicer_Plan3">#N/A</definedName>
    <definedName name="Slicer_Plan4">#N/A</definedName>
    <definedName name="SR_14">Composite_SupportRatio[[#Headers],[Category]]</definedName>
    <definedName name="TOC">'Table of Contents'!$B$3</definedName>
    <definedName name="UALSummary9">Composite_UALSummary[[#Headers],[Plan]]</definedName>
  </definedNames>
  <calcPr calcId="191029"/>
  <pivotCaches>
    <pivotCache cacheId="5" r:id="rId17"/>
    <pivotCache cacheId="6" r:id="rId18"/>
    <pivotCache cacheId="7" r:id="rId19"/>
    <pivotCache cacheId="8" r:id="rId20"/>
    <pivotCache cacheId="9" r:id="rId21"/>
  </pivotCaches>
  <extLs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B7" i="1"/>
</calcChain>
</file>

<file path=xl/sharedStrings.xml><?xml version="1.0" encoding="utf-8"?>
<sst xmlns="http://schemas.openxmlformats.org/spreadsheetml/2006/main" count="686" uniqueCount="132">
  <si>
    <t>Plan</t>
  </si>
  <si>
    <t>UAL</t>
  </si>
  <si>
    <t>UAL_Payment</t>
  </si>
  <si>
    <t>Safety Classic</t>
  </si>
  <si>
    <t>Miscellaneous Classic</t>
  </si>
  <si>
    <t>Fire PEPRA</t>
  </si>
  <si>
    <t>Police PEPRA</t>
  </si>
  <si>
    <t>Miscellaneous PEPRA</t>
  </si>
  <si>
    <t>Total</t>
  </si>
  <si>
    <t>Category_20230630</t>
  </si>
  <si>
    <t>Value</t>
  </si>
  <si>
    <t>1. Present Value of Benefits</t>
  </si>
  <si>
    <t>$184,896,107</t>
  </si>
  <si>
    <t>Classic Safety</t>
  </si>
  <si>
    <t>2. Entry Age Accrued Liability</t>
  </si>
  <si>
    <t>173,318,081</t>
  </si>
  <si>
    <t>3. Market Value of Assets (MVA)</t>
  </si>
  <si>
    <t>110,862,862</t>
  </si>
  <si>
    <t>4. Unfunded Accrued Liability (UAL) [(2) – (3)]</t>
  </si>
  <si>
    <t>$62,455,219</t>
  </si>
  <si>
    <t>5. Funded Ratio [(3) ÷ (2)]</t>
  </si>
  <si>
    <t>64.0%</t>
  </si>
  <si>
    <t>$77,154,882</t>
  </si>
  <si>
    <t>Classic Misc</t>
  </si>
  <si>
    <t>70,083,838</t>
  </si>
  <si>
    <t>44,724,313</t>
  </si>
  <si>
    <t>$25,359,525</t>
  </si>
  <si>
    <t>63.8%</t>
  </si>
  <si>
    <t>Discount_Rate</t>
  </si>
  <si>
    <t>Discount_Rate_058</t>
  </si>
  <si>
    <t>Discount_Rate_068</t>
  </si>
  <si>
    <t>Discount_Rate_078</t>
  </si>
  <si>
    <t>1. Entry Age Accrued Liability</t>
  </si>
  <si>
    <t>2. Market Value of Assets (MVA)</t>
  </si>
  <si>
    <t>3. Unfunded Accrued Liability (UAL) [(1) – (2)]</t>
  </si>
  <si>
    <t>4. Funded Ratio [(2) ÷ (1)]</t>
  </si>
  <si>
    <t>FY</t>
  </si>
  <si>
    <t>Balance</t>
  </si>
  <si>
    <t>Payment</t>
  </si>
  <si>
    <t>PEPRA Fire</t>
  </si>
  <si>
    <t>PEPRA Police</t>
  </si>
  <si>
    <t>PEPRA Misc</t>
  </si>
  <si>
    <t>UAL Payment</t>
  </si>
  <si>
    <t>Valuation
Date</t>
  </si>
  <si>
    <t>Accrued
Liability
(AL)</t>
  </si>
  <si>
    <t>Share of Pool’s
Market Value of
Assets (MVA)</t>
  </si>
  <si>
    <t>Unfunded
Accrued Liability
(UAL)</t>
  </si>
  <si>
    <t>Funded
Ratio</t>
  </si>
  <si>
    <t>Annual
Covered
Payroll</t>
  </si>
  <si>
    <t>Category</t>
  </si>
  <si>
    <t>Data</t>
  </si>
  <si>
    <t>1. Number of Actives</t>
  </si>
  <si>
    <t>2. Number of Retirees</t>
  </si>
  <si>
    <t>3. Support Ratio [(1) ÷ (2)]</t>
  </si>
  <si>
    <t>1. Market Value of Assets</t>
  </si>
  <si>
    <t>$110,862,862</t>
  </si>
  <si>
    <t>2. Payroll</t>
  </si>
  <si>
    <t>$5,618,797</t>
  </si>
  <si>
    <t>3. Asset Volatility Ratio (AVR) [(1) ÷ (2)]</t>
  </si>
  <si>
    <t>19.7</t>
  </si>
  <si>
    <t>4. Accrued Liability</t>
  </si>
  <si>
    <t>$173,318,081</t>
  </si>
  <si>
    <t>5. Liability Volatility Ratio (LVR) [(4) ÷ (2)]</t>
  </si>
  <si>
    <t>30.8</t>
  </si>
  <si>
    <t>$44,724,313</t>
  </si>
  <si>
    <t>$3,768,714</t>
  </si>
  <si>
    <t>11.9</t>
  </si>
  <si>
    <t>$70,083,838</t>
  </si>
  <si>
    <t>18.6</t>
  </si>
  <si>
    <t>ValuationDate</t>
  </si>
  <si>
    <t>Retiree_Accrued_Liability_to_Total_Accrued_Liability</t>
  </si>
  <si>
    <t>Support_Ratio</t>
  </si>
  <si>
    <t>Asset
Volatility
Ratio</t>
  </si>
  <si>
    <t>Liability
Volatility
Ratio</t>
  </si>
  <si>
    <t>Classic Miscellaneous</t>
  </si>
  <si>
    <t>PEPRA  Fire</t>
  </si>
  <si>
    <t>PEPRA Miscellaneous</t>
  </si>
  <si>
    <t>Employer
Normal Cost Rate</t>
  </si>
  <si>
    <t>Accrued Liability (AL)</t>
  </si>
  <si>
    <t>Share of Pool’s Market Value of Assets (MVA)</t>
  </si>
  <si>
    <t>Unfunded Accrued Liability (UAL)</t>
  </si>
  <si>
    <t>Annual Covered Payroll</t>
  </si>
  <si>
    <t>Funded Ratio</t>
  </si>
  <si>
    <t>Grand Total</t>
  </si>
  <si>
    <t xml:space="preserve">UAL Payment </t>
  </si>
  <si>
    <t xml:space="preserve">UAL </t>
  </si>
  <si>
    <t>Table of Contents</t>
  </si>
  <si>
    <t>Cover</t>
  </si>
  <si>
    <t>UAL Summary</t>
  </si>
  <si>
    <t>Funded Ratio Discount Rate</t>
  </si>
  <si>
    <t>Amort Sch</t>
  </si>
  <si>
    <t>Amort 2026 Classic Safety</t>
  </si>
  <si>
    <t>Funded History</t>
  </si>
  <si>
    <t>Support Ratio</t>
  </si>
  <si>
    <t>Contribution Volatility</t>
  </si>
  <si>
    <t>Liability Volatility Ratio</t>
  </si>
  <si>
    <t>Proj Emply Contrib</t>
  </si>
  <si>
    <t>Projected Amortization Schedule</t>
  </si>
  <si>
    <t>Employer Contribution History</t>
  </si>
  <si>
    <t>Funding History</t>
  </si>
  <si>
    <t>Funded Ratio1</t>
  </si>
  <si>
    <t>Page</t>
  </si>
  <si>
    <t>Description</t>
  </si>
  <si>
    <t>This page</t>
  </si>
  <si>
    <t>Important information about this document</t>
  </si>
  <si>
    <t>Pivot table?</t>
  </si>
  <si>
    <t>Pivot Chart?</t>
  </si>
  <si>
    <t>No</t>
  </si>
  <si>
    <t>Yes</t>
  </si>
  <si>
    <t>UAL, UAL Payment for each fund for 2026</t>
  </si>
  <si>
    <t>Static</t>
  </si>
  <si>
    <t>Basic KPI for the two classic plans</t>
  </si>
  <si>
    <t>Sensitivity Analysis for the two classic plans: 6.8% versus 5.8% or 7.8%</t>
  </si>
  <si>
    <t>Scheduled Pay down of UAL and UAL payments</t>
  </si>
  <si>
    <t>Shows how the projections for Classic Safety increased signficantly over the past few years.</t>
  </si>
  <si>
    <t>Future</t>
  </si>
  <si>
    <t>Past</t>
  </si>
  <si>
    <t>Current/Technical</t>
  </si>
  <si>
    <r>
      <t xml:space="preserve">I used some color coding: </t>
    </r>
    <r>
      <rPr>
        <b/>
        <sz val="11"/>
        <color rgb="FF92D050"/>
        <rFont val="Aptos Narrow"/>
        <family val="2"/>
        <scheme val="minor"/>
      </rPr>
      <t xml:space="preserve">green tabs </t>
    </r>
    <r>
      <rPr>
        <sz val="11"/>
        <color rgb="FF000000"/>
        <rFont val="Aptos Narrow"/>
        <family val="2"/>
        <scheme val="minor"/>
      </rPr>
      <t xml:space="preserve">indicate projections. </t>
    </r>
    <r>
      <rPr>
        <b/>
        <sz val="11"/>
        <color rgb="FFFFFF00"/>
        <rFont val="Aptos Narrow"/>
        <family val="2"/>
        <scheme val="minor"/>
      </rPr>
      <t xml:space="preserve">Yellow tabs </t>
    </r>
    <r>
      <rPr>
        <sz val="11"/>
        <color rgb="FF000000"/>
        <rFont val="Aptos Narrow"/>
        <family val="2"/>
        <scheme val="minor"/>
      </rPr>
      <t xml:space="preserve">indicate historical data. </t>
    </r>
    <r>
      <rPr>
        <b/>
        <sz val="11"/>
        <color rgb="FF00B0F0"/>
        <rFont val="Aptos Narrow"/>
        <family val="2"/>
        <scheme val="minor"/>
      </rPr>
      <t xml:space="preserve">Blue tabs </t>
    </r>
    <r>
      <rPr>
        <sz val="11"/>
        <color rgb="FF000000"/>
        <rFont val="Aptos Narrow"/>
        <family val="2"/>
        <scheme val="minor"/>
      </rPr>
      <t>indicate current metrics or some technical information.</t>
    </r>
  </si>
  <si>
    <r>
      <t xml:space="preserve">I used conditional formatting in a number of places. Generally </t>
    </r>
    <r>
      <rPr>
        <b/>
        <sz val="11"/>
        <color rgb="FFEE0000"/>
        <rFont val="Aptos Narrow"/>
        <family val="2"/>
        <scheme val="minor"/>
      </rPr>
      <t>red</t>
    </r>
    <r>
      <rPr>
        <sz val="11"/>
        <color rgb="FF000000"/>
        <rFont val="Aptos Narrow"/>
        <family val="2"/>
        <scheme val="minor"/>
      </rPr>
      <t xml:space="preserve"> indicates a bad result on a specific metric. The data shows worsening conditions.</t>
    </r>
  </si>
  <si>
    <t>Projections of future payments and debt with PT and PT charts</t>
  </si>
  <si>
    <t>Payment schedul for each of the plans</t>
  </si>
  <si>
    <t>Record of payments for the past 10 years</t>
  </si>
  <si>
    <t>Past 10 years of UAL and funding ratio</t>
  </si>
  <si>
    <t xml:space="preserve">Accrued Liability (AL) </t>
  </si>
  <si>
    <t xml:space="preserve">Unfunded Accrued Liability (UAL) </t>
  </si>
  <si>
    <t>Various historical records by plan</t>
  </si>
  <si>
    <t>Funded ratio for all five plans</t>
  </si>
  <si>
    <t>Sensitivity measures for the two classic plans</t>
  </si>
  <si>
    <t>Contribution Volatility for two classic plans</t>
  </si>
  <si>
    <t>Support ratios for the two classic plans</t>
  </si>
  <si>
    <t>Back to TOC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</si>
</sst>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0.0%"/>
    <numFmt numFmtId="166" formatCode="0.0"/>
    <numFmt numFmtId="167" formatCode="yyyy\-mm\-dd\ h:mm:ss"/>
  </numFmts>
  <fonts count="13"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2"/>
      <color theme="1"/>
      <name val="Aptos"/>
      <family val="2"/>
    </font>
    <font>
      <b/>
      <sz val="11"/>
      <color rgb="FFFF0000"/>
      <name val="Aptos Narrow"/>
      <family val="2"/>
      <scheme val="minor"/>
    </font>
    <font>
      <sz val="11"/>
      <color rgb="FF000000"/>
      <name val="Aptos Narrow"/>
      <family val="2"/>
      <scheme val="minor"/>
    </font>
    <font>
      <b/>
      <sz val="11"/>
      <color rgb="FF92D050"/>
      <name val="Aptos Narrow"/>
      <family val="2"/>
      <scheme val="minor"/>
    </font>
    <font>
      <b/>
      <sz val="11"/>
      <color rgb="FFFFFF00"/>
      <name val="Aptos Narrow"/>
      <family val="2"/>
      <scheme val="minor"/>
    </font>
    <font>
      <b/>
      <sz val="11"/>
      <color rgb="FF00B0F0"/>
      <name val="Aptos Narrow"/>
      <family val="2"/>
      <scheme val="minor"/>
    </font>
    <font>
      <b/>
      <sz val="11"/>
      <color rgb="FFEE0000"/>
      <name val="Aptos Narrow"/>
      <family val="2"/>
      <scheme val="minor"/>
    </font>
    <font>
      <b/>
      <sz val="11"/>
      <color rgb="FFFFFFFF"/>
      <name val="Aptos Narrow"/>
      <family val="2"/>
    </font>
    <font>
      <u/>
      <sz val="11"/>
      <color theme="10"/>
      <name val="Aptos Narrow"/>
      <family val="2"/>
      <scheme val="minor"/>
    </font>
  </fonts>
  <fills count="9">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rgb="FF4F81BD"/>
        <bgColor rgb="FF4F81BD"/>
      </patternFill>
    </fill>
    <fill>
      <patternFill patternType="solid">
        <fgColor rgb="FFDCE6F1"/>
        <bgColor rgb="FFDCE6F1"/>
      </patternFill>
    </fill>
  </fills>
  <borders count="8">
    <border>
      <left/>
      <right/>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auto="1"/>
      </left>
      <right style="thin">
        <color auto="1"/>
      </right>
      <top style="thin">
        <color auto="1"/>
      </top>
      <bottom style="thin">
        <color auto="1"/>
      </bottom>
      <diagonal/>
    </border>
  </borders>
  <cellStyleXfs count="3">
    <xf numFmtId="0" fontId="0" fillId="0" borderId="0"/>
    <xf numFmtId="9" fontId="1" fillId="0" borderId="0"/>
    <xf numFmtId="0" fontId="12" fillId="0" borderId="0" applyNumberFormat="0" applyFill="0" applyBorder="0" applyAlignment="0" applyProtection="0"/>
  </cellStyleXfs>
  <cellXfs count="63">
    <xf numFmtId="0" fontId="0" fillId="0" borderId="0" xfId="0"/>
    <xf numFmtId="0" fontId="0" fillId="2" borderId="1" xfId="0" applyFill="1" applyBorder="1"/>
    <xf numFmtId="164" fontId="0" fillId="2" borderId="2" xfId="0" applyNumberFormat="1" applyFill="1" applyBorder="1"/>
    <xf numFmtId="164" fontId="0" fillId="2" borderId="3" xfId="0" applyNumberFormat="1" applyFill="1" applyBorder="1"/>
    <xf numFmtId="0" fontId="0" fillId="0" borderId="1" xfId="0" applyBorder="1"/>
    <xf numFmtId="164" fontId="0" fillId="0" borderId="2" xfId="0" applyNumberFormat="1" applyBorder="1"/>
    <xf numFmtId="164" fontId="0" fillId="0" borderId="3" xfId="0" applyNumberFormat="1" applyBorder="1"/>
    <xf numFmtId="0" fontId="2" fillId="3" borderId="1" xfId="0" applyFont="1" applyFill="1" applyBorder="1"/>
    <xf numFmtId="164" fontId="2" fillId="3" borderId="2" xfId="0" applyNumberFormat="1" applyFont="1" applyFill="1" applyBorder="1"/>
    <xf numFmtId="164" fontId="2" fillId="3" borderId="3" xfId="0" applyNumberFormat="1" applyFont="1" applyFill="1" applyBorder="1"/>
    <xf numFmtId="14" fontId="0" fillId="2" borderId="1" xfId="0" applyNumberFormat="1" applyFill="1" applyBorder="1"/>
    <xf numFmtId="14" fontId="0" fillId="0" borderId="1" xfId="0" applyNumberFormat="1" applyBorder="1"/>
    <xf numFmtId="14" fontId="0" fillId="2" borderId="4" xfId="0" applyNumberFormat="1" applyFill="1" applyBorder="1"/>
    <xf numFmtId="14" fontId="0" fillId="0" borderId="4" xfId="0" applyNumberFormat="1" applyBorder="1"/>
    <xf numFmtId="164" fontId="0" fillId="0" borderId="5" xfId="0" applyNumberFormat="1" applyBorder="1"/>
    <xf numFmtId="164" fontId="0" fillId="0" borderId="6" xfId="0" applyNumberFormat="1" applyBorder="1"/>
    <xf numFmtId="0" fontId="3" fillId="0" borderId="0" xfId="0" applyFont="1"/>
    <xf numFmtId="165" fontId="2" fillId="3" borderId="2" xfId="1" applyNumberFormat="1" applyFont="1" applyFill="1" applyBorder="1"/>
    <xf numFmtId="165" fontId="0" fillId="2" borderId="2" xfId="1" applyNumberFormat="1" applyFont="1" applyFill="1" applyBorder="1"/>
    <xf numFmtId="165" fontId="0" fillId="0" borderId="2" xfId="1" applyNumberFormat="1" applyFont="1" applyBorder="1"/>
    <xf numFmtId="165" fontId="0" fillId="0" borderId="5" xfId="1" applyNumberFormat="1" applyFont="1" applyBorder="1"/>
    <xf numFmtId="0" fontId="2" fillId="3" borderId="2" xfId="0" applyFont="1" applyFill="1" applyBorder="1"/>
    <xf numFmtId="0" fontId="0" fillId="2" borderId="3" xfId="0" applyFill="1" applyBorder="1"/>
    <xf numFmtId="0" fontId="0" fillId="0" borderId="3" xfId="0" applyBorder="1"/>
    <xf numFmtId="0" fontId="0" fillId="0" borderId="4" xfId="0" applyBorder="1"/>
    <xf numFmtId="0" fontId="0" fillId="0" borderId="6" xfId="0" applyBorder="1"/>
    <xf numFmtId="0" fontId="2" fillId="3" borderId="0" xfId="0" applyFont="1" applyFill="1"/>
    <xf numFmtId="0" fontId="4" fillId="0" borderId="0" xfId="0" applyFont="1" applyAlignment="1">
      <alignment vertical="center"/>
    </xf>
    <xf numFmtId="164" fontId="0" fillId="0" borderId="0" xfId="0" applyNumberFormat="1"/>
    <xf numFmtId="166" fontId="2" fillId="3" borderId="2" xfId="0" applyNumberFormat="1" applyFont="1" applyFill="1" applyBorder="1"/>
    <xf numFmtId="166" fontId="2" fillId="3" borderId="3" xfId="0" applyNumberFormat="1" applyFont="1" applyFill="1" applyBorder="1"/>
    <xf numFmtId="166" fontId="0" fillId="0" borderId="0" xfId="0" applyNumberFormat="1"/>
    <xf numFmtId="167" fontId="0" fillId="0" borderId="0" xfId="0" applyNumberFormat="1"/>
    <xf numFmtId="0" fontId="5" fillId="0" borderId="0" xfId="0" applyFont="1"/>
    <xf numFmtId="3" fontId="0" fillId="0" borderId="0" xfId="0" applyNumberFormat="1"/>
    <xf numFmtId="165" fontId="1" fillId="0" borderId="0" xfId="1" applyNumberFormat="1"/>
    <xf numFmtId="165" fontId="5" fillId="0" borderId="0" xfId="1" applyNumberFormat="1" applyFont="1"/>
    <xf numFmtId="0" fontId="0" fillId="0" borderId="0" xfId="0" pivotButton="1"/>
    <xf numFmtId="164" fontId="3" fillId="0" borderId="0" xfId="0" applyNumberFormat="1" applyFont="1"/>
    <xf numFmtId="0" fontId="5" fillId="0" borderId="6" xfId="0" applyFont="1" applyBorder="1"/>
    <xf numFmtId="0" fontId="5" fillId="0" borderId="3" xfId="0" applyFont="1" applyBorder="1"/>
    <xf numFmtId="166" fontId="3" fillId="2" borderId="2" xfId="0" applyNumberFormat="1" applyFont="1" applyFill="1" applyBorder="1"/>
    <xf numFmtId="166" fontId="3" fillId="2" borderId="3" xfId="0" applyNumberFormat="1" applyFont="1" applyFill="1" applyBorder="1"/>
    <xf numFmtId="166" fontId="3" fillId="0" borderId="3" xfId="0" applyNumberFormat="1" applyFont="1" applyBorder="1"/>
    <xf numFmtId="166" fontId="3" fillId="0" borderId="2" xfId="0" applyNumberFormat="1" applyFont="1" applyBorder="1"/>
    <xf numFmtId="166" fontId="3" fillId="2" borderId="5" xfId="0" applyNumberFormat="1" applyFont="1" applyFill="1" applyBorder="1"/>
    <xf numFmtId="166" fontId="3" fillId="2" borderId="6" xfId="0" applyNumberFormat="1" applyFont="1" applyFill="1" applyBorder="1"/>
    <xf numFmtId="0" fontId="0" fillId="0" borderId="0" xfId="0" applyAlignment="1">
      <alignment wrapText="1"/>
    </xf>
    <xf numFmtId="0" fontId="3" fillId="0" borderId="0" xfId="0" applyFont="1" applyAlignment="1">
      <alignment wrapText="1"/>
    </xf>
    <xf numFmtId="0" fontId="3" fillId="4" borderId="0" xfId="0" applyFont="1" applyFill="1"/>
    <xf numFmtId="0" fontId="3" fillId="5" borderId="0" xfId="0" applyFont="1" applyFill="1"/>
    <xf numFmtId="0" fontId="3" fillId="6" borderId="0" xfId="0" applyFont="1" applyFill="1"/>
    <xf numFmtId="0" fontId="6" fillId="0" borderId="0" xfId="0" applyFont="1"/>
    <xf numFmtId="165" fontId="0" fillId="0" borderId="0" xfId="0" applyNumberFormat="1"/>
    <xf numFmtId="0" fontId="0" fillId="0" borderId="0" xfId="0" applyAlignment="1">
      <alignment horizontal="center"/>
    </xf>
    <xf numFmtId="9" fontId="1" fillId="0" borderId="0" xfId="1" applyAlignment="1">
      <alignment horizontal="center"/>
    </xf>
    <xf numFmtId="0" fontId="11" fillId="7" borderId="7" xfId="0" applyFont="1" applyFill="1" applyBorder="1" applyAlignment="1">
      <alignment horizontal="center" vertical="center"/>
    </xf>
    <xf numFmtId="0" fontId="0" fillId="8" borderId="7" xfId="0" applyFill="1" applyBorder="1"/>
    <xf numFmtId="0" fontId="0" fillId="8" borderId="7" xfId="0" applyFill="1" applyBorder="1" applyAlignment="1">
      <alignment wrapText="1"/>
    </xf>
    <xf numFmtId="0" fontId="12" fillId="4" borderId="0" xfId="2" applyFill="1"/>
    <xf numFmtId="0" fontId="12" fillId="6" borderId="0" xfId="2" applyFill="1"/>
    <xf numFmtId="0" fontId="12" fillId="5" borderId="0" xfId="2" applyFill="1"/>
    <xf numFmtId="0" fontId="12" fillId="0" borderId="0" xfId="2"/>
  </cellXfs>
  <cellStyles count="3">
    <cellStyle name="Hyperlink" xfId="2" builtinId="8"/>
    <cellStyle name="Normal" xfId="0" builtinId="0"/>
    <cellStyle name="Percent" xfId="1" builtinId="5"/>
  </cellStyles>
  <dxfs count="25">
    <dxf>
      <numFmt numFmtId="165" formatCode="0.0%"/>
    </dxf>
    <dxf>
      <font>
        <b/>
      </font>
    </dxf>
    <dxf>
      <numFmt numFmtId="165" formatCode="0.0%"/>
    </dxf>
    <dxf>
      <font>
        <b/>
      </font>
    </dxf>
    <dxf>
      <numFmt numFmtId="164" formatCode="&quot;$&quot;#,##0"/>
    </dxf>
    <dxf>
      <alignment horizontal="center" vertical="bottom" textRotation="0" wrapText="0" indent="0" justifyLastLine="0" shrinkToFit="0" readingOrder="0"/>
    </dxf>
    <dxf>
      <numFmt numFmtId="164" formatCode="&quot;$&quot;#,##0"/>
    </dxf>
    <dxf>
      <numFmt numFmtId="165" formatCode="0.0%"/>
    </dxf>
    <dxf>
      <numFmt numFmtId="164" formatCode="&quot;$&quot;#,##0"/>
    </dxf>
    <dxf>
      <numFmt numFmtId="164" formatCode="&quot;$&quot;#,##0"/>
    </dxf>
    <dxf>
      <numFmt numFmtId="164" formatCode="&quot;$&quot;#,##0"/>
    </dxf>
    <dxf>
      <numFmt numFmtId="167" formatCode="yyyy\-mm\-dd\ h:mm:ss"/>
    </dxf>
    <dxf>
      <font>
        <b/>
        <i val="0"/>
        <strike val="0"/>
        <condense val="0"/>
        <extend val="0"/>
        <outline val="0"/>
        <shadow val="0"/>
        <u val="none"/>
        <vertAlign val="baseline"/>
        <sz val="11"/>
        <color theme="1"/>
        <name val="Aptos Narrow"/>
        <family val="2"/>
        <scheme val="minor"/>
      </font>
    </dxf>
    <dxf>
      <numFmt numFmtId="165" formatCode="0.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4" formatCode="&quot;$&quot;#,##0"/>
    </dxf>
    <dxf>
      <numFmt numFmtId="165" formatCode="0.0%"/>
    </dxf>
    <dxf>
      <numFmt numFmtId="167" formatCode="yyyy\-mm\-dd\ h:mm:ss"/>
    </dxf>
    <dxf>
      <numFmt numFmtId="164" formatCode="&quot;$&quot;#,##0"/>
    </dxf>
    <dxf>
      <numFmt numFmtId="164" formatCode="&quot;$&quot;#,##0"/>
    </dxf>
    <dxf>
      <numFmt numFmtId="164" formatCode="&quot;$&quot;#,##0"/>
    </dxf>
    <dxf>
      <numFmt numFmtId="164" formatCode="&quot;$&quot;#,##0"/>
    </dxf>
    <dxf>
      <numFmt numFmtId="164" formatCode="&quot;$&quot;#,##0"/>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 Cerrito CalPERS Excel Project.xlsx]Amort Sch!PivotTable4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'Amort Sch'!$L$7</c:f>
              <c:strCache>
                <c:ptCount val="1"/>
                <c:pt idx="0">
                  <c:v>Total</c:v>
                </c:pt>
              </c:strCache>
            </c:strRef>
          </c:tx>
          <c:spPr>
            <a:solidFill>
              <a:schemeClr val="accent1"/>
            </a:solidFill>
            <a:ln>
              <a:noFill/>
            </a:ln>
            <a:effectLst/>
          </c:spPr>
          <c:invertIfNegative val="0"/>
          <c:cat>
            <c:strRef>
              <c:f>'Amort Sch'!$K$8:$K$29</c:f>
              <c:strCache>
                <c:ptCount val="21"/>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strCache>
            </c:strRef>
          </c:cat>
          <c:val>
            <c:numRef>
              <c:f>'Amort Sch'!$L$8:$L$29</c:f>
              <c:numCache>
                <c:formatCode>"$"#,##0</c:formatCode>
                <c:ptCount val="21"/>
                <c:pt idx="0">
                  <c:v>5496179</c:v>
                </c:pt>
                <c:pt idx="1">
                  <c:v>5838815</c:v>
                </c:pt>
                <c:pt idx="2">
                  <c:v>6127277</c:v>
                </c:pt>
                <c:pt idx="3">
                  <c:v>6701368</c:v>
                </c:pt>
                <c:pt idx="4">
                  <c:v>6857769</c:v>
                </c:pt>
                <c:pt idx="5">
                  <c:v>7000141</c:v>
                </c:pt>
                <c:pt idx="6">
                  <c:v>7146499</c:v>
                </c:pt>
                <c:pt idx="7">
                  <c:v>7117124</c:v>
                </c:pt>
                <c:pt idx="8">
                  <c:v>7081893</c:v>
                </c:pt>
                <c:pt idx="9">
                  <c:v>6976205</c:v>
                </c:pt>
                <c:pt idx="10">
                  <c:v>5728517</c:v>
                </c:pt>
                <c:pt idx="11">
                  <c:v>5325122</c:v>
                </c:pt>
                <c:pt idx="12">
                  <c:v>3714932</c:v>
                </c:pt>
                <c:pt idx="13">
                  <c:v>3438206</c:v>
                </c:pt>
                <c:pt idx="14">
                  <c:v>3218279</c:v>
                </c:pt>
                <c:pt idx="15">
                  <c:v>3081453</c:v>
                </c:pt>
                <c:pt idx="16">
                  <c:v>2678295</c:v>
                </c:pt>
                <c:pt idx="17">
                  <c:v>2276413</c:v>
                </c:pt>
                <c:pt idx="18">
                  <c:v>3435801</c:v>
                </c:pt>
                <c:pt idx="19">
                  <c:v>699755</c:v>
                </c:pt>
                <c:pt idx="20">
                  <c:v>15379</c:v>
                </c:pt>
              </c:numCache>
            </c:numRef>
          </c:val>
          <c:extLst>
            <c:ext xmlns:c16="http://schemas.microsoft.com/office/drawing/2014/chart" uri="{C3380CC4-5D6E-409C-BE32-E72D297353CC}">
              <c16:uniqueId val="{00000000-0E92-4A5E-BCCA-5C2AAF8F7462}"/>
            </c:ext>
          </c:extLst>
        </c:ser>
        <c:dLbls>
          <c:showLegendKey val="0"/>
          <c:showVal val="0"/>
          <c:showCatName val="0"/>
          <c:showSerName val="0"/>
          <c:showPercent val="0"/>
          <c:showBubbleSize val="0"/>
        </c:dLbls>
        <c:gapWidth val="219"/>
        <c:overlap val="-27"/>
        <c:axId val="1314854063"/>
        <c:axId val="1975370287"/>
      </c:barChart>
      <c:catAx>
        <c:axId val="131485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370287"/>
        <c:crosses val="autoZero"/>
        <c:auto val="1"/>
        <c:lblAlgn val="ctr"/>
        <c:lblOffset val="100"/>
        <c:noMultiLvlLbl val="0"/>
      </c:catAx>
      <c:valAx>
        <c:axId val="1975370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85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 Cerrito CalPERS Excel Project.xlsx]Amort Sch!PivotTable5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'Amort Sch'!$Q$7</c:f>
              <c:strCache>
                <c:ptCount val="1"/>
                <c:pt idx="0">
                  <c:v>Total</c:v>
                </c:pt>
              </c:strCache>
            </c:strRef>
          </c:tx>
          <c:spPr>
            <a:solidFill>
              <a:schemeClr val="accent1"/>
            </a:solidFill>
            <a:ln>
              <a:noFill/>
            </a:ln>
            <a:effectLst/>
          </c:spPr>
          <c:invertIfNegative val="0"/>
          <c:cat>
            <c:strRef>
              <c:f>'Amort Sch'!$P$8:$P$29</c:f>
              <c:strCache>
                <c:ptCount val="21"/>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strCache>
            </c:strRef>
          </c:cat>
          <c:val>
            <c:numRef>
              <c:f>'Amort Sch'!$Q$8:$Q$29</c:f>
              <c:numCache>
                <c:formatCode>"$"#,##0</c:formatCode>
                <c:ptCount val="21"/>
                <c:pt idx="0">
                  <c:v>61500802</c:v>
                </c:pt>
                <c:pt idx="1">
                  <c:v>60002882</c:v>
                </c:pt>
                <c:pt idx="2">
                  <c:v>58049007</c:v>
                </c:pt>
                <c:pt idx="3">
                  <c:v>55664161</c:v>
                </c:pt>
                <c:pt idx="4">
                  <c:v>52523858</c:v>
                </c:pt>
                <c:pt idx="5">
                  <c:v>49008381</c:v>
                </c:pt>
                <c:pt idx="6">
                  <c:v>45106718</c:v>
                </c:pt>
                <c:pt idx="7">
                  <c:v>40788491</c:v>
                </c:pt>
                <c:pt idx="8">
                  <c:v>36206981</c:v>
                </c:pt>
                <c:pt idx="9">
                  <c:v>31350339</c:v>
                </c:pt>
                <c:pt idx="10">
                  <c:v>26272665</c:v>
                </c:pt>
                <c:pt idx="11">
                  <c:v>22139120</c:v>
                </c:pt>
                <c:pt idx="12">
                  <c:v>18141382</c:v>
                </c:pt>
                <c:pt idx="13">
                  <c:v>15535836</c:v>
                </c:pt>
                <c:pt idx="14">
                  <c:v>13039093</c:v>
                </c:pt>
                <c:pt idx="15">
                  <c:v>10599853</c:v>
                </c:pt>
                <c:pt idx="16">
                  <c:v>8136144</c:v>
                </c:pt>
                <c:pt idx="17">
                  <c:v>5921542</c:v>
                </c:pt>
                <c:pt idx="18">
                  <c:v>3971670</c:v>
                </c:pt>
                <c:pt idx="19">
                  <c:v>691044</c:v>
                </c:pt>
                <c:pt idx="20">
                  <c:v>14881</c:v>
                </c:pt>
              </c:numCache>
            </c:numRef>
          </c:val>
          <c:extLst>
            <c:ext xmlns:c16="http://schemas.microsoft.com/office/drawing/2014/chart" uri="{C3380CC4-5D6E-409C-BE32-E72D297353CC}">
              <c16:uniqueId val="{00000000-7F44-441E-B04A-F0FDA55F5E5F}"/>
            </c:ext>
          </c:extLst>
        </c:ser>
        <c:dLbls>
          <c:showLegendKey val="0"/>
          <c:showVal val="0"/>
          <c:showCatName val="0"/>
          <c:showSerName val="0"/>
          <c:showPercent val="0"/>
          <c:showBubbleSize val="0"/>
        </c:dLbls>
        <c:gapWidth val="219"/>
        <c:overlap val="-27"/>
        <c:axId val="1014593120"/>
        <c:axId val="1014594560"/>
      </c:barChart>
      <c:catAx>
        <c:axId val="101459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594560"/>
        <c:crosses val="autoZero"/>
        <c:auto val="1"/>
        <c:lblAlgn val="ctr"/>
        <c:lblOffset val="100"/>
        <c:noMultiLvlLbl val="0"/>
      </c:catAx>
      <c:valAx>
        <c:axId val="10145945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59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 Cerrito CalPERS Excel Project.xlsx]Proj Emply Contrib!PivotTable10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 Emply Contrib'!$F$6</c:f>
              <c:strCache>
                <c:ptCount val="1"/>
                <c:pt idx="0">
                  <c:v>Total</c:v>
                </c:pt>
              </c:strCache>
            </c:strRef>
          </c:tx>
          <c:spPr>
            <a:solidFill>
              <a:schemeClr val="accent1"/>
            </a:solidFill>
            <a:ln>
              <a:noFill/>
            </a:ln>
            <a:effectLst/>
          </c:spPr>
          <c:invertIfNegative val="0"/>
          <c:cat>
            <c:strRef>
              <c:f>'Proj Emply Contrib'!$E$7:$E$13</c:f>
              <c:strCache>
                <c:ptCount val="6"/>
                <c:pt idx="0">
                  <c:v>2026</c:v>
                </c:pt>
                <c:pt idx="1">
                  <c:v>2027</c:v>
                </c:pt>
                <c:pt idx="2">
                  <c:v>2028</c:v>
                </c:pt>
                <c:pt idx="3">
                  <c:v>2029</c:v>
                </c:pt>
                <c:pt idx="4">
                  <c:v>2030</c:v>
                </c:pt>
                <c:pt idx="5">
                  <c:v>2031</c:v>
                </c:pt>
              </c:strCache>
            </c:strRef>
          </c:cat>
          <c:val>
            <c:numRef>
              <c:f>'Proj Emply Contrib'!$F$7:$F$13</c:f>
              <c:numCache>
                <c:formatCode>"$"#,##0</c:formatCode>
                <c:ptCount val="6"/>
                <c:pt idx="0">
                  <c:v>8023578</c:v>
                </c:pt>
                <c:pt idx="1">
                  <c:v>8533000</c:v>
                </c:pt>
                <c:pt idx="2">
                  <c:v>8965000</c:v>
                </c:pt>
                <c:pt idx="3">
                  <c:v>9778000</c:v>
                </c:pt>
                <c:pt idx="4">
                  <c:v>10005000</c:v>
                </c:pt>
                <c:pt idx="5">
                  <c:v>10212000</c:v>
                </c:pt>
              </c:numCache>
            </c:numRef>
          </c:val>
          <c:extLst>
            <c:ext xmlns:c16="http://schemas.microsoft.com/office/drawing/2014/chart" uri="{C3380CC4-5D6E-409C-BE32-E72D297353CC}">
              <c16:uniqueId val="{00000000-DC15-4C7B-BCF6-3EE100A5E481}"/>
            </c:ext>
          </c:extLst>
        </c:ser>
        <c:dLbls>
          <c:showLegendKey val="0"/>
          <c:showVal val="0"/>
          <c:showCatName val="0"/>
          <c:showSerName val="0"/>
          <c:showPercent val="0"/>
          <c:showBubbleSize val="0"/>
        </c:dLbls>
        <c:gapWidth val="219"/>
        <c:overlap val="-27"/>
        <c:axId val="1432093023"/>
        <c:axId val="1432088703"/>
      </c:barChart>
      <c:catAx>
        <c:axId val="143209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088703"/>
        <c:crosses val="autoZero"/>
        <c:auto val="1"/>
        <c:lblAlgn val="ctr"/>
        <c:lblOffset val="100"/>
        <c:noMultiLvlLbl val="0"/>
      </c:catAx>
      <c:valAx>
        <c:axId val="1432088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09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 Cerrito CalPERS Excel Project.xlsx]Proj Emply Contrib!PivotTable10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'Proj Emply Contrib'!$F$6</c:f>
              <c:strCache>
                <c:ptCount val="1"/>
                <c:pt idx="0">
                  <c:v>Total</c:v>
                </c:pt>
              </c:strCache>
            </c:strRef>
          </c:tx>
          <c:spPr>
            <a:ln w="28575" cap="rnd">
              <a:solidFill>
                <a:schemeClr val="accent1"/>
              </a:solidFill>
              <a:round/>
            </a:ln>
            <a:effectLst/>
          </c:spPr>
          <c:marker>
            <c:symbol val="none"/>
          </c:marker>
          <c:cat>
            <c:strRef>
              <c:f>'Proj Emply Contrib'!$E$7:$E$13</c:f>
              <c:strCache>
                <c:ptCount val="6"/>
                <c:pt idx="0">
                  <c:v>2026</c:v>
                </c:pt>
                <c:pt idx="1">
                  <c:v>2027</c:v>
                </c:pt>
                <c:pt idx="2">
                  <c:v>2028</c:v>
                </c:pt>
                <c:pt idx="3">
                  <c:v>2029</c:v>
                </c:pt>
                <c:pt idx="4">
                  <c:v>2030</c:v>
                </c:pt>
                <c:pt idx="5">
                  <c:v>2031</c:v>
                </c:pt>
              </c:strCache>
            </c:strRef>
          </c:cat>
          <c:val>
            <c:numRef>
              <c:f>'Proj Emply Contrib'!$F$7:$F$13</c:f>
              <c:numCache>
                <c:formatCode>"$"#,##0</c:formatCode>
                <c:ptCount val="6"/>
                <c:pt idx="0">
                  <c:v>8023578</c:v>
                </c:pt>
                <c:pt idx="1">
                  <c:v>8533000</c:v>
                </c:pt>
                <c:pt idx="2">
                  <c:v>8965000</c:v>
                </c:pt>
                <c:pt idx="3">
                  <c:v>9778000</c:v>
                </c:pt>
                <c:pt idx="4">
                  <c:v>10005000</c:v>
                </c:pt>
                <c:pt idx="5">
                  <c:v>10212000</c:v>
                </c:pt>
              </c:numCache>
            </c:numRef>
          </c:val>
          <c:smooth val="0"/>
          <c:extLst>
            <c:ext xmlns:c16="http://schemas.microsoft.com/office/drawing/2014/chart" uri="{C3380CC4-5D6E-409C-BE32-E72D297353CC}">
              <c16:uniqueId val="{00000000-2126-4FE9-B7AE-3B8F2F187408}"/>
            </c:ext>
          </c:extLst>
        </c:ser>
        <c:dLbls>
          <c:showLegendKey val="0"/>
          <c:showVal val="0"/>
          <c:showCatName val="0"/>
          <c:showSerName val="0"/>
          <c:showPercent val="0"/>
          <c:showBubbleSize val="0"/>
        </c:dLbls>
        <c:smooth val="0"/>
        <c:axId val="938721408"/>
        <c:axId val="1386381551"/>
      </c:lineChart>
      <c:catAx>
        <c:axId val="93872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381551"/>
        <c:crosses val="autoZero"/>
        <c:auto val="1"/>
        <c:lblAlgn val="ctr"/>
        <c:lblOffset val="100"/>
        <c:noMultiLvlLbl val="0"/>
      </c:catAx>
      <c:valAx>
        <c:axId val="13863815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2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 Cerrito CalPERS Excel Project.xlsx]Projected Amortization Schedule!PivotTable8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'Projected Amortization Schedule'!$N$2</c:f>
              <c:strCache>
                <c:ptCount val="1"/>
                <c:pt idx="0">
                  <c:v>Total</c:v>
                </c:pt>
              </c:strCache>
            </c:strRef>
          </c:tx>
          <c:spPr>
            <a:solidFill>
              <a:schemeClr val="accent1"/>
            </a:solidFill>
            <a:ln>
              <a:noFill/>
            </a:ln>
            <a:effectLst/>
          </c:spPr>
          <c:invertIfNegative val="0"/>
          <c:cat>
            <c:strRef>
              <c:f>'Projected Amortization Schedule'!$M$3:$M$23</c:f>
              <c:strCache>
                <c:ptCount val="20"/>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strCache>
            </c:strRef>
          </c:cat>
          <c:val>
            <c:numRef>
              <c:f>'Projected Amortization Schedule'!$N$3:$N$23</c:f>
              <c:numCache>
                <c:formatCode>"$"#,##0</c:formatCode>
                <c:ptCount val="20"/>
                <c:pt idx="0">
                  <c:v>2430053</c:v>
                </c:pt>
                <c:pt idx="1">
                  <c:v>2572192</c:v>
                </c:pt>
                <c:pt idx="2">
                  <c:v>2691885</c:v>
                </c:pt>
                <c:pt idx="3">
                  <c:v>2928664</c:v>
                </c:pt>
                <c:pt idx="4">
                  <c:v>2998492</c:v>
                </c:pt>
                <c:pt idx="5">
                  <c:v>3062914</c:v>
                </c:pt>
                <c:pt idx="6">
                  <c:v>2588662</c:v>
                </c:pt>
                <c:pt idx="7">
                  <c:v>2572006</c:v>
                </c:pt>
                <c:pt idx="8">
                  <c:v>2552934</c:v>
                </c:pt>
                <c:pt idx="9">
                  <c:v>2505213</c:v>
                </c:pt>
                <c:pt idx="10">
                  <c:v>2321639</c:v>
                </c:pt>
                <c:pt idx="11">
                  <c:v>1478800</c:v>
                </c:pt>
                <c:pt idx="12">
                  <c:v>1373728</c:v>
                </c:pt>
                <c:pt idx="13">
                  <c:v>1262153</c:v>
                </c:pt>
                <c:pt idx="14">
                  <c:v>1173784</c:v>
                </c:pt>
                <c:pt idx="15">
                  <c:v>1114930</c:v>
                </c:pt>
                <c:pt idx="16">
                  <c:v>966732</c:v>
                </c:pt>
                <c:pt idx="17">
                  <c:v>811646</c:v>
                </c:pt>
                <c:pt idx="18">
                  <c:v>1324722</c:v>
                </c:pt>
                <c:pt idx="19">
                  <c:v>222482</c:v>
                </c:pt>
              </c:numCache>
            </c:numRef>
          </c:val>
          <c:extLst>
            <c:ext xmlns:c16="http://schemas.microsoft.com/office/drawing/2014/chart" uri="{C3380CC4-5D6E-409C-BE32-E72D297353CC}">
              <c16:uniqueId val="{00000000-535A-4951-A05F-8E22379BC384}"/>
            </c:ext>
          </c:extLst>
        </c:ser>
        <c:dLbls>
          <c:showLegendKey val="0"/>
          <c:showVal val="0"/>
          <c:showCatName val="0"/>
          <c:showSerName val="0"/>
          <c:showPercent val="0"/>
          <c:showBubbleSize val="0"/>
        </c:dLbls>
        <c:gapWidth val="219"/>
        <c:overlap val="-27"/>
        <c:axId val="1012160400"/>
        <c:axId val="1012162320"/>
      </c:barChart>
      <c:catAx>
        <c:axId val="101216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162320"/>
        <c:crosses val="autoZero"/>
        <c:auto val="1"/>
        <c:lblAlgn val="ctr"/>
        <c:lblOffset val="100"/>
        <c:noMultiLvlLbl val="0"/>
      </c:catAx>
      <c:valAx>
        <c:axId val="1012162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16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 Cerrito CalPERS Excel Project.xlsx]Projected Amortization Schedule!PivotTable9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'Projected Amortization Schedule'!$S$2</c:f>
              <c:strCache>
                <c:ptCount val="1"/>
                <c:pt idx="0">
                  <c:v>Total</c:v>
                </c:pt>
              </c:strCache>
            </c:strRef>
          </c:tx>
          <c:spPr>
            <a:solidFill>
              <a:schemeClr val="accent1"/>
            </a:solidFill>
            <a:ln>
              <a:noFill/>
            </a:ln>
            <a:effectLst/>
          </c:spPr>
          <c:invertIfNegative val="0"/>
          <c:cat>
            <c:strRef>
              <c:f>'Projected Amortization Schedule'!$R$3:$R$23</c:f>
              <c:strCache>
                <c:ptCount val="20"/>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strCache>
            </c:strRef>
          </c:cat>
          <c:val>
            <c:numRef>
              <c:f>'Projected Amortization Schedule'!$S$3:$S$23</c:f>
              <c:numCache>
                <c:formatCode>"$"#,##0</c:formatCode>
                <c:ptCount val="20"/>
                <c:pt idx="0">
                  <c:v>24585563</c:v>
                </c:pt>
                <c:pt idx="1">
                  <c:v>23746065</c:v>
                </c:pt>
                <c:pt idx="2">
                  <c:v>22702590</c:v>
                </c:pt>
                <c:pt idx="3">
                  <c:v>21464462</c:v>
                </c:pt>
                <c:pt idx="4">
                  <c:v>19897442</c:v>
                </c:pt>
                <c:pt idx="5">
                  <c:v>18151704</c:v>
                </c:pt>
                <c:pt idx="6">
                  <c:v>16220680</c:v>
                </c:pt>
                <c:pt idx="7">
                  <c:v>14648455</c:v>
                </c:pt>
                <c:pt idx="8">
                  <c:v>12986535</c:v>
                </c:pt>
                <c:pt idx="9">
                  <c:v>11231314</c:v>
                </c:pt>
                <c:pt idx="10">
                  <c:v>9406054</c:v>
                </c:pt>
                <c:pt idx="11">
                  <c:v>7646390</c:v>
                </c:pt>
                <c:pt idx="12">
                  <c:v>6638092</c:v>
                </c:pt>
                <c:pt idx="13">
                  <c:v>5669815</c:v>
                </c:pt>
                <c:pt idx="14">
                  <c:v>4751003</c:v>
                </c:pt>
                <c:pt idx="15">
                  <c:v>3861036</c:v>
                </c:pt>
                <c:pt idx="16">
                  <c:v>2971373</c:v>
                </c:pt>
                <c:pt idx="17">
                  <c:v>2174366</c:v>
                </c:pt>
                <c:pt idx="18">
                  <c:v>1483433</c:v>
                </c:pt>
                <c:pt idx="19">
                  <c:v>215283</c:v>
                </c:pt>
              </c:numCache>
            </c:numRef>
          </c:val>
          <c:extLst>
            <c:ext xmlns:c16="http://schemas.microsoft.com/office/drawing/2014/chart" uri="{C3380CC4-5D6E-409C-BE32-E72D297353CC}">
              <c16:uniqueId val="{00000000-FBF9-4780-AE9F-1815AB62DB33}"/>
            </c:ext>
          </c:extLst>
        </c:ser>
        <c:dLbls>
          <c:showLegendKey val="0"/>
          <c:showVal val="0"/>
          <c:showCatName val="0"/>
          <c:showSerName val="0"/>
          <c:showPercent val="0"/>
          <c:showBubbleSize val="0"/>
        </c:dLbls>
        <c:gapWidth val="219"/>
        <c:overlap val="-27"/>
        <c:axId val="343024736"/>
        <c:axId val="343025216"/>
      </c:barChart>
      <c:catAx>
        <c:axId val="34302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25216"/>
        <c:crosses val="autoZero"/>
        <c:auto val="1"/>
        <c:lblAlgn val="ctr"/>
        <c:lblOffset val="100"/>
        <c:noMultiLvlLbl val="0"/>
      </c:catAx>
      <c:valAx>
        <c:axId val="3430252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2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 Cerrito CalPERS Excel Project.xlsx]Employer Contribution History!PivotTable11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'Employer Contribution History'!$I$6</c:f>
              <c:strCache>
                <c:ptCount val="1"/>
                <c:pt idx="0">
                  <c:v>Total</c:v>
                </c:pt>
              </c:strCache>
            </c:strRef>
          </c:tx>
          <c:spPr>
            <a:solidFill>
              <a:schemeClr val="accent1"/>
            </a:solidFill>
            <a:ln>
              <a:noFill/>
            </a:ln>
            <a:effectLst/>
          </c:spPr>
          <c:invertIfNegative val="0"/>
          <c:cat>
            <c:strRef>
              <c:f>'Employer Contribution History'!$H$7:$H$17</c:f>
              <c:strCache>
                <c:ptCount val="10"/>
                <c:pt idx="0">
                  <c:v>2017</c:v>
                </c:pt>
                <c:pt idx="1">
                  <c:v>2018</c:v>
                </c:pt>
                <c:pt idx="2">
                  <c:v>2019</c:v>
                </c:pt>
                <c:pt idx="3">
                  <c:v>2020</c:v>
                </c:pt>
                <c:pt idx="4">
                  <c:v>2021</c:v>
                </c:pt>
                <c:pt idx="5">
                  <c:v>2022</c:v>
                </c:pt>
                <c:pt idx="6">
                  <c:v>2023</c:v>
                </c:pt>
                <c:pt idx="7">
                  <c:v>2024</c:v>
                </c:pt>
                <c:pt idx="8">
                  <c:v>2025</c:v>
                </c:pt>
                <c:pt idx="9">
                  <c:v>2026</c:v>
                </c:pt>
              </c:strCache>
            </c:strRef>
          </c:cat>
          <c:val>
            <c:numRef>
              <c:f>'Employer Contribution History'!$I$7:$I$17</c:f>
              <c:numCache>
                <c:formatCode>"$"#,##0</c:formatCode>
                <c:ptCount val="10"/>
                <c:pt idx="0">
                  <c:v>1792383</c:v>
                </c:pt>
                <c:pt idx="1">
                  <c:v>2092601</c:v>
                </c:pt>
                <c:pt idx="2">
                  <c:v>2498404</c:v>
                </c:pt>
                <c:pt idx="3">
                  <c:v>2955657</c:v>
                </c:pt>
                <c:pt idx="4">
                  <c:v>3306700</c:v>
                </c:pt>
                <c:pt idx="5">
                  <c:v>3789412</c:v>
                </c:pt>
                <c:pt idx="6">
                  <c:v>4253080</c:v>
                </c:pt>
                <c:pt idx="7">
                  <c:v>4222686</c:v>
                </c:pt>
                <c:pt idx="8">
                  <c:v>4912212</c:v>
                </c:pt>
                <c:pt idx="9">
                  <c:v>5496179</c:v>
                </c:pt>
              </c:numCache>
            </c:numRef>
          </c:val>
          <c:extLst>
            <c:ext xmlns:c16="http://schemas.microsoft.com/office/drawing/2014/chart" uri="{C3380CC4-5D6E-409C-BE32-E72D297353CC}">
              <c16:uniqueId val="{00000000-2813-4AF7-953E-742FB959CBD6}"/>
            </c:ext>
          </c:extLst>
        </c:ser>
        <c:dLbls>
          <c:showLegendKey val="0"/>
          <c:showVal val="0"/>
          <c:showCatName val="0"/>
          <c:showSerName val="0"/>
          <c:showPercent val="0"/>
          <c:showBubbleSize val="0"/>
        </c:dLbls>
        <c:gapWidth val="219"/>
        <c:overlap val="-27"/>
        <c:axId val="231745408"/>
        <c:axId val="231735808"/>
      </c:barChart>
      <c:catAx>
        <c:axId val="23174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35808"/>
        <c:crosses val="autoZero"/>
        <c:auto val="1"/>
        <c:lblAlgn val="ctr"/>
        <c:lblOffset val="100"/>
        <c:noMultiLvlLbl val="0"/>
      </c:catAx>
      <c:valAx>
        <c:axId val="231735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4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 Cerrito CalPERS Excel Project.xlsx]Employer Contribution History!PivotTable11</c:name>
    <c:fmtId val="1"/>
  </c:pivotSource>
  <c:chart>
    <c:title>
      <c:layout>
        <c:manualLayout>
          <c:xMode val="edge"/>
          <c:yMode val="edge"/>
          <c:x val="0.90760411198600177"/>
          <c:y val="0.5637941090696996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'Employer Contribution History'!$I$6</c:f>
              <c:strCache>
                <c:ptCount val="1"/>
                <c:pt idx="0">
                  <c:v>Total</c:v>
                </c:pt>
              </c:strCache>
            </c:strRef>
          </c:tx>
          <c:spPr>
            <a:ln w="28575" cap="rnd">
              <a:solidFill>
                <a:schemeClr val="accent1"/>
              </a:solidFill>
              <a:round/>
            </a:ln>
            <a:effectLst/>
          </c:spPr>
          <c:marker>
            <c:symbol val="none"/>
          </c:marker>
          <c:cat>
            <c:strRef>
              <c:f>'Employer Contribution History'!$H$7:$H$17</c:f>
              <c:strCache>
                <c:ptCount val="10"/>
                <c:pt idx="0">
                  <c:v>2017</c:v>
                </c:pt>
                <c:pt idx="1">
                  <c:v>2018</c:v>
                </c:pt>
                <c:pt idx="2">
                  <c:v>2019</c:v>
                </c:pt>
                <c:pt idx="3">
                  <c:v>2020</c:v>
                </c:pt>
                <c:pt idx="4">
                  <c:v>2021</c:v>
                </c:pt>
                <c:pt idx="5">
                  <c:v>2022</c:v>
                </c:pt>
                <c:pt idx="6">
                  <c:v>2023</c:v>
                </c:pt>
                <c:pt idx="7">
                  <c:v>2024</c:v>
                </c:pt>
                <c:pt idx="8">
                  <c:v>2025</c:v>
                </c:pt>
                <c:pt idx="9">
                  <c:v>2026</c:v>
                </c:pt>
              </c:strCache>
            </c:strRef>
          </c:cat>
          <c:val>
            <c:numRef>
              <c:f>'Employer Contribution History'!$I$7:$I$17</c:f>
              <c:numCache>
                <c:formatCode>"$"#,##0</c:formatCode>
                <c:ptCount val="10"/>
                <c:pt idx="0">
                  <c:v>1792383</c:v>
                </c:pt>
                <c:pt idx="1">
                  <c:v>2092601</c:v>
                </c:pt>
                <c:pt idx="2">
                  <c:v>2498404</c:v>
                </c:pt>
                <c:pt idx="3">
                  <c:v>2955657</c:v>
                </c:pt>
                <c:pt idx="4">
                  <c:v>3306700</c:v>
                </c:pt>
                <c:pt idx="5">
                  <c:v>3789412</c:v>
                </c:pt>
                <c:pt idx="6">
                  <c:v>4253080</c:v>
                </c:pt>
                <c:pt idx="7">
                  <c:v>4222686</c:v>
                </c:pt>
                <c:pt idx="8">
                  <c:v>4912212</c:v>
                </c:pt>
                <c:pt idx="9">
                  <c:v>5496179</c:v>
                </c:pt>
              </c:numCache>
            </c:numRef>
          </c:val>
          <c:smooth val="0"/>
          <c:extLst>
            <c:ext xmlns:c16="http://schemas.microsoft.com/office/drawing/2014/chart" uri="{C3380CC4-5D6E-409C-BE32-E72D297353CC}">
              <c16:uniqueId val="{00000000-3A5B-4314-B381-52394C51517A}"/>
            </c:ext>
          </c:extLst>
        </c:ser>
        <c:dLbls>
          <c:showLegendKey val="0"/>
          <c:showVal val="0"/>
          <c:showCatName val="0"/>
          <c:showSerName val="0"/>
          <c:showPercent val="0"/>
          <c:showBubbleSize val="0"/>
        </c:dLbls>
        <c:smooth val="0"/>
        <c:axId val="1453518847"/>
        <c:axId val="1453516927"/>
      </c:lineChart>
      <c:catAx>
        <c:axId val="145351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516927"/>
        <c:crosses val="autoZero"/>
        <c:auto val="1"/>
        <c:lblAlgn val="ctr"/>
        <c:lblOffset val="100"/>
        <c:noMultiLvlLbl val="0"/>
      </c:catAx>
      <c:valAx>
        <c:axId val="14535169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51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'UAL Summary'!$B$1</c:f>
              <c:strCache>
                <c:ptCount val="1"/>
                <c:pt idx="0">
                  <c:v>UAL</c:v>
                </c:pt>
              </c:strCache>
            </c:strRef>
          </c:tx>
          <c:spPr>
            <a:solidFill>
              <a:schemeClr val="accent1"/>
            </a:solidFill>
            <a:ln>
              <a:noFill/>
            </a:ln>
            <a:effectLst/>
          </c:spPr>
          <c:invertIfNegative val="0"/>
          <c:cat>
            <c:strRef>
              <c:f>'UAL Summary'!$A$2:$A$6</c:f>
              <c:strCache>
                <c:ptCount val="5"/>
                <c:pt idx="0">
                  <c:v>Safety Classic</c:v>
                </c:pt>
                <c:pt idx="1">
                  <c:v>Miscellaneous Classic</c:v>
                </c:pt>
                <c:pt idx="2">
                  <c:v>Fire PEPRA</c:v>
                </c:pt>
                <c:pt idx="3">
                  <c:v>Police PEPRA</c:v>
                </c:pt>
                <c:pt idx="4">
                  <c:v>Miscellaneous PEPRA</c:v>
                </c:pt>
              </c:strCache>
            </c:strRef>
          </c:cat>
          <c:val>
            <c:numRef>
              <c:f>'UAL Summary'!$B$2:$B$6</c:f>
              <c:numCache>
                <c:formatCode>"$"#,##0</c:formatCode>
                <c:ptCount val="5"/>
                <c:pt idx="0">
                  <c:v>62455219</c:v>
                </c:pt>
                <c:pt idx="1">
                  <c:v>25359525</c:v>
                </c:pt>
                <c:pt idx="2">
                  <c:v>316705</c:v>
                </c:pt>
                <c:pt idx="3">
                  <c:v>683097</c:v>
                </c:pt>
                <c:pt idx="4">
                  <c:v>432347</c:v>
                </c:pt>
              </c:numCache>
            </c:numRef>
          </c:val>
          <c:extLst>
            <c:ext xmlns:c16="http://schemas.microsoft.com/office/drawing/2014/chart" uri="{C3380CC4-5D6E-409C-BE32-E72D297353CC}">
              <c16:uniqueId val="{00000000-4CE1-4C48-B213-B57FFD77249F}"/>
            </c:ext>
          </c:extLst>
        </c:ser>
        <c:dLbls>
          <c:showLegendKey val="0"/>
          <c:showVal val="0"/>
          <c:showCatName val="0"/>
          <c:showSerName val="0"/>
          <c:showPercent val="0"/>
          <c:showBubbleSize val="0"/>
        </c:dLbls>
        <c:gapWidth val="219"/>
        <c:overlap val="-27"/>
        <c:axId val="563613808"/>
        <c:axId val="1422022911"/>
      </c:barChart>
      <c:catAx>
        <c:axId val="56361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022911"/>
        <c:crosses val="autoZero"/>
        <c:auto val="1"/>
        <c:lblAlgn val="ctr"/>
        <c:lblOffset val="100"/>
        <c:noMultiLvlLbl val="0"/>
      </c:catAx>
      <c:valAx>
        <c:axId val="1422022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61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'UAL Summary'!$C$1</c:f>
              <c:strCache>
                <c:ptCount val="1"/>
                <c:pt idx="0">
                  <c:v>UAL_Payment</c:v>
                </c:pt>
              </c:strCache>
            </c:strRef>
          </c:tx>
          <c:spPr>
            <a:solidFill>
              <a:schemeClr val="accent1"/>
            </a:solidFill>
            <a:ln>
              <a:noFill/>
            </a:ln>
            <a:effectLst/>
          </c:spPr>
          <c:invertIfNegative val="0"/>
          <c:cat>
            <c:strRef>
              <c:f>'UAL Summary'!$A$2:$A$6</c:f>
              <c:strCache>
                <c:ptCount val="5"/>
                <c:pt idx="0">
                  <c:v>Safety Classic</c:v>
                </c:pt>
                <c:pt idx="1">
                  <c:v>Miscellaneous Classic</c:v>
                </c:pt>
                <c:pt idx="2">
                  <c:v>Fire PEPRA</c:v>
                </c:pt>
                <c:pt idx="3">
                  <c:v>Police PEPRA</c:v>
                </c:pt>
                <c:pt idx="4">
                  <c:v>Miscellaneous PEPRA</c:v>
                </c:pt>
              </c:strCache>
            </c:strRef>
          </c:cat>
          <c:val>
            <c:numRef>
              <c:f>'UAL Summary'!$C$2:$C$6</c:f>
              <c:numCache>
                <c:formatCode>"$"#,##0</c:formatCode>
                <c:ptCount val="5"/>
                <c:pt idx="0">
                  <c:v>5496179</c:v>
                </c:pt>
                <c:pt idx="1">
                  <c:v>2430053</c:v>
                </c:pt>
                <c:pt idx="2">
                  <c:v>22609</c:v>
                </c:pt>
                <c:pt idx="3">
                  <c:v>50642</c:v>
                </c:pt>
                <c:pt idx="4">
                  <c:v>24095</c:v>
                </c:pt>
              </c:numCache>
            </c:numRef>
          </c:val>
          <c:extLst>
            <c:ext xmlns:c16="http://schemas.microsoft.com/office/drawing/2014/chart" uri="{C3380CC4-5D6E-409C-BE32-E72D297353CC}">
              <c16:uniqueId val="{00000000-9787-4CEB-9170-B14EA5B111EB}"/>
            </c:ext>
          </c:extLst>
        </c:ser>
        <c:dLbls>
          <c:showLegendKey val="0"/>
          <c:showVal val="0"/>
          <c:showCatName val="0"/>
          <c:showSerName val="0"/>
          <c:showPercent val="0"/>
          <c:showBubbleSize val="0"/>
        </c:dLbls>
        <c:gapWidth val="219"/>
        <c:overlap val="-27"/>
        <c:axId val="562574832"/>
        <c:axId val="231743488"/>
      </c:barChart>
      <c:catAx>
        <c:axId val="56257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43488"/>
        <c:crosses val="autoZero"/>
        <c:auto val="1"/>
        <c:lblAlgn val="ctr"/>
        <c:lblOffset val="100"/>
        <c:noMultiLvlLbl val="0"/>
      </c:catAx>
      <c:valAx>
        <c:axId val="231743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7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247650</xdr:colOff>
      <xdr:row>3</xdr:row>
      <xdr:rowOff>190498</xdr:rowOff>
    </xdr:from>
    <xdr:to>
      <xdr:col>13</xdr:col>
      <xdr:colOff>161925</xdr:colOff>
      <xdr:row>45</xdr:row>
      <xdr:rowOff>66675</xdr:rowOff>
    </xdr:to>
    <xdr:sp macro="" textlink="">
      <xdr:nvSpPr>
        <xdr:cNvPr id="2" name="TextBox 1">
          <a:extLst>
            <a:ext uri="{FF2B5EF4-FFF2-40B4-BE49-F238E27FC236}">
              <a16:creationId xmlns:a16="http://schemas.microsoft.com/office/drawing/2014/main" id="{8CBB2F14-B24F-DD08-E69C-DE470A09A048}"/>
            </a:ext>
          </a:extLst>
        </xdr:cNvPr>
        <xdr:cNvSpPr txBox="1"/>
      </xdr:nvSpPr>
      <xdr:spPr>
        <a:xfrm>
          <a:off x="3905250" y="761998"/>
          <a:ext cx="4181475" cy="78771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dk1"/>
              </a:solidFill>
              <a:effectLst/>
              <a:latin typeface="+mn-lt"/>
              <a:ea typeface="+mn-ea"/>
              <a:cs typeface="+mn-cs"/>
            </a:rPr>
            <a:t>About This</a:t>
          </a:r>
          <a:r>
            <a:rPr lang="en-US" sz="1100" b="1" baseline="0">
              <a:solidFill>
                <a:schemeClr val="dk1"/>
              </a:solidFill>
              <a:effectLst/>
              <a:latin typeface="+mn-lt"/>
              <a:ea typeface="+mn-ea"/>
              <a:cs typeface="+mn-cs"/>
            </a:rPr>
            <a:t> Document</a:t>
          </a:r>
          <a:endParaRPr lang="en-US" sz="1100" b="1">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city of El Cerrito is in significant financial difficulty. This report focuses on the main financial issue, El Cerrito's Unfunded Accrued Liability (UAL) which it owes to CalPERS.</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report is one of three documents.</a:t>
          </a:r>
        </a:p>
        <a:p>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A detailed Word report with discussion and references that was produced using the R Markdown language. The graphs were produced using the R package ggplot. The tables were produced using the R package flextable. The data came originally from PDF files on the CalPERS website. The tables were extracted using Excel Power Pivot, AKA Data/Get Data. Then I read the data into R.</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I created a few simple interactive visuals using Tableau for those who want to quickly see the main problems with UAL debt and UAL payments.</a:t>
          </a:r>
        </a:p>
        <a:p>
          <a:pPr lvl="0"/>
          <a:r>
            <a:rPr lang="en-US" sz="1100" b="0" i="0" u="none" strike="noStrike">
              <a:solidFill>
                <a:schemeClr val="dk1"/>
              </a:solidFill>
              <a:effectLst/>
              <a:latin typeface="+mn-lt"/>
              <a:ea typeface="+mn-ea"/>
              <a:cs typeface="+mn-cs"/>
            </a:rPr>
            <a:t>https://public.tableau.com/app/profile/ira.sharenow1281/viz/UALProject202507/ElCerritosUnfundedAccruedLiability</a:t>
          </a:r>
          <a:r>
            <a:rPr lang="en-US"/>
            <a:t>  </a:t>
          </a:r>
          <a:endParaRPr lang="en-US" sz="1100">
            <a:solidFill>
              <a:schemeClr val="dk1"/>
            </a:solidFill>
            <a:effectLst/>
            <a:latin typeface="+mn-lt"/>
            <a:ea typeface="+mn-ea"/>
            <a:cs typeface="+mn-cs"/>
          </a:endParaRP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This document has all of the tables used for both of the previous documents. In addition I have created some pivot tables and pivot charts. I used slicers for interactivity. The intended audience is community members who have already have some understanding of El Cerrito’s UAL financial problems and need to see more details.</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I used some color coding: </a:t>
          </a:r>
          <a:r>
            <a:rPr lang="en-US" sz="1100" b="1">
              <a:solidFill>
                <a:srgbClr val="92D050"/>
              </a:solidFill>
              <a:effectLst/>
              <a:latin typeface="+mn-lt"/>
              <a:ea typeface="+mn-ea"/>
              <a:cs typeface="+mn-cs"/>
            </a:rPr>
            <a:t>green tabs </a:t>
          </a:r>
          <a:r>
            <a:rPr lang="en-US" sz="1100">
              <a:solidFill>
                <a:schemeClr val="dk1"/>
              </a:solidFill>
              <a:effectLst/>
              <a:latin typeface="+mn-lt"/>
              <a:ea typeface="+mn-ea"/>
              <a:cs typeface="+mn-cs"/>
            </a:rPr>
            <a:t>indicate projections. </a:t>
          </a:r>
          <a:r>
            <a:rPr lang="en-US" sz="1100" b="1">
              <a:solidFill>
                <a:srgbClr val="FFFF00"/>
              </a:solidFill>
              <a:effectLst/>
              <a:latin typeface="+mn-lt"/>
              <a:ea typeface="+mn-ea"/>
              <a:cs typeface="+mn-cs"/>
            </a:rPr>
            <a:t>Yellow tabs </a:t>
          </a:r>
          <a:r>
            <a:rPr lang="en-US" sz="1100">
              <a:solidFill>
                <a:schemeClr val="dk1"/>
              </a:solidFill>
              <a:effectLst/>
              <a:latin typeface="+mn-lt"/>
              <a:ea typeface="+mn-ea"/>
              <a:cs typeface="+mn-cs"/>
            </a:rPr>
            <a:t>indicate historical data. </a:t>
          </a:r>
          <a:r>
            <a:rPr lang="en-US" sz="1100" b="1">
              <a:solidFill>
                <a:srgbClr val="00B0F0"/>
              </a:solidFill>
              <a:effectLst/>
              <a:latin typeface="+mn-lt"/>
              <a:ea typeface="+mn-ea"/>
              <a:cs typeface="+mn-cs"/>
            </a:rPr>
            <a:t>Blue tabs </a:t>
          </a:r>
          <a:r>
            <a:rPr lang="en-US" sz="1100">
              <a:solidFill>
                <a:schemeClr val="dk1"/>
              </a:solidFill>
              <a:effectLst/>
              <a:latin typeface="+mn-lt"/>
              <a:ea typeface="+mn-ea"/>
              <a:cs typeface="+mn-cs"/>
            </a:rPr>
            <a:t>indicate current metrics or some technical information.</a:t>
          </a:r>
          <a:br>
            <a:rPr lang="en-US" sz="1100">
              <a:solidFill>
                <a:schemeClr val="dk1"/>
              </a:solidFill>
              <a:effectLst/>
              <a:latin typeface="+mn-lt"/>
              <a:ea typeface="+mn-ea"/>
              <a:cs typeface="+mn-cs"/>
            </a:rPr>
          </a:b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I used conditional formatting in a number of places. Generally </a:t>
          </a:r>
          <a:r>
            <a:rPr lang="en-US" sz="1100" b="1">
              <a:solidFill>
                <a:srgbClr val="EE0000"/>
              </a:solidFill>
              <a:effectLst/>
              <a:latin typeface="+mn-lt"/>
              <a:ea typeface="+mn-ea"/>
              <a:cs typeface="+mn-cs"/>
            </a:rPr>
            <a:t>red</a:t>
          </a:r>
          <a:r>
            <a:rPr lang="en-US" sz="1100">
              <a:solidFill>
                <a:schemeClr val="dk1"/>
              </a:solidFill>
              <a:effectLst/>
              <a:latin typeface="+mn-lt"/>
              <a:ea typeface="+mn-ea"/>
              <a:cs typeface="+mn-cs"/>
            </a:rPr>
            <a:t> indicates a bad result on a specific metric. The data shows worsening conditions.</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In some case I used two types of pivot charts: bar charts and line charts. They tell the same story but I made both available so readers can select their preference.</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Several sheets</a:t>
          </a:r>
          <a:r>
            <a:rPr lang="en-US" sz="1100" baseline="0">
              <a:solidFill>
                <a:schemeClr val="dk1"/>
              </a:solidFill>
              <a:effectLst/>
              <a:latin typeface="+mn-lt"/>
              <a:ea typeface="+mn-ea"/>
              <a:cs typeface="+mn-cs"/>
            </a:rPr>
            <a:t> feature sliders. That enables the reader to interactively make choices.</a:t>
          </a:r>
          <a:endParaRPr lang="en-US" sz="1100">
            <a:solidFill>
              <a:schemeClr val="dk1"/>
            </a:solidFill>
            <a:effectLst/>
            <a:latin typeface="+mn-lt"/>
            <a:ea typeface="+mn-ea"/>
            <a:cs typeface="+mn-cs"/>
          </a:endParaRPr>
        </a:p>
        <a:p>
          <a:endParaRPr lang="en-US" sz="1100"/>
        </a:p>
        <a:p>
          <a:r>
            <a:rPr lang="en-US" sz="1100"/>
            <a:t>CalPERS</a:t>
          </a:r>
          <a:r>
            <a:rPr lang="en-US" sz="1100" baseline="0"/>
            <a:t> Data  Source: </a:t>
          </a:r>
          <a:r>
            <a:rPr lang="en-US" sz="1100">
              <a:solidFill>
                <a:schemeClr val="dk1"/>
              </a:solidFill>
              <a:effectLst/>
              <a:latin typeface="+mn-lt"/>
              <a:ea typeface="+mn-ea"/>
              <a:cs typeface="+mn-cs"/>
            </a:rPr>
            <a:t>https://www.calpers.ca.gov/employers/actuarial-resources/public-agency-actuarial-valuation-reports   </a:t>
          </a:r>
          <a:r>
            <a:rPr lang="en-US" sz="1100" baseline="0">
              <a:solidFill>
                <a:schemeClr val="dk1"/>
              </a:solidFill>
              <a:effectLst/>
              <a:latin typeface="+mn-lt"/>
              <a:ea typeface="+mn-ea"/>
              <a:cs typeface="+mn-cs"/>
            </a:rPr>
            <a:t> </a:t>
          </a:r>
          <a:endParaRPr lang="en-US" sz="1100"/>
        </a:p>
      </xdr:txBody>
    </xdr:sp>
    <xdr:clientData/>
  </xdr:twoCellAnchor>
  <xdr:twoCellAnchor editAs="oneCell">
    <xdr:from>
      <xdr:col>1</xdr:col>
      <xdr:colOff>0</xdr:colOff>
      <xdr:row>4</xdr:row>
      <xdr:rowOff>0</xdr:rowOff>
    </xdr:from>
    <xdr:to>
      <xdr:col>4</xdr:col>
      <xdr:colOff>352425</xdr:colOff>
      <xdr:row>12</xdr:row>
      <xdr:rowOff>133350</xdr:rowOff>
    </xdr:to>
    <xdr:pic>
      <xdr:nvPicPr>
        <xdr:cNvPr id="5" name="Picture 4" descr="Perspectives on City Management From ICMA President-Elect Karen Pinkos -  Western City Magazine">
          <a:extLst>
            <a:ext uri="{FF2B5EF4-FFF2-40B4-BE49-F238E27FC236}">
              <a16:creationId xmlns:a16="http://schemas.microsoft.com/office/drawing/2014/main" id="{E55E3AE1-28AD-497D-FDC7-55DD24AA35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762000"/>
          <a:ext cx="2181225" cy="165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xdr:row>
      <xdr:rowOff>0</xdr:rowOff>
    </xdr:from>
    <xdr:to>
      <xdr:col>4</xdr:col>
      <xdr:colOff>114300</xdr:colOff>
      <xdr:row>25</xdr:row>
      <xdr:rowOff>114300</xdr:rowOff>
    </xdr:to>
    <xdr:pic>
      <xdr:nvPicPr>
        <xdr:cNvPr id="6" name="dimg_IGZtaPbnLpa3ptQPrYaF6AY_2" descr="CalPERS Logo PNG Vector (PDF) Free Download">
          <a:extLst>
            <a:ext uri="{FF2B5EF4-FFF2-40B4-BE49-F238E27FC236}">
              <a16:creationId xmlns:a16="http://schemas.microsoft.com/office/drawing/2014/main" id="{9A08A586-8167-6F12-40C8-986A71A2AE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0" y="3048000"/>
          <a:ext cx="1943100"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295275</xdr:colOff>
      <xdr:row>29</xdr:row>
      <xdr:rowOff>104775</xdr:rowOff>
    </xdr:from>
    <xdr:to>
      <xdr:col>14</xdr:col>
      <xdr:colOff>523876</xdr:colOff>
      <xdr:row>33</xdr:row>
      <xdr:rowOff>114300</xdr:rowOff>
    </xdr:to>
    <mc:AlternateContent xmlns:mc="http://schemas.openxmlformats.org/markup-compatibility/2006" xmlns:a14="http://schemas.microsoft.com/office/drawing/2010/main">
      <mc:Choice Requires="a14">
        <xdr:graphicFrame macro="">
          <xdr:nvGraphicFramePr>
            <xdr:cNvPr id="2" name="Plan">
              <a:extLst>
                <a:ext uri="{FF2B5EF4-FFF2-40B4-BE49-F238E27FC236}">
                  <a16:creationId xmlns:a16="http://schemas.microsoft.com/office/drawing/2014/main" id="{60C71DCC-A180-4F1C-8768-79CFDBFE1FFF}"/>
                </a:ext>
              </a:extLst>
            </xdr:cNvPr>
            <xdr:cNvGraphicFramePr/>
          </xdr:nvGraphicFramePr>
          <xdr:xfrm>
            <a:off x="0" y="0"/>
            <a:ext cx="0" cy="0"/>
          </xdr:xfrm>
          <a:graphic>
            <a:graphicData uri="http://schemas.microsoft.com/office/drawing/2010/slicer">
              <sle:slicer xmlns:sle="http://schemas.microsoft.com/office/drawing/2010/slicer" name="Plan"/>
            </a:graphicData>
          </a:graphic>
        </xdr:graphicFrame>
      </mc:Choice>
      <mc:Fallback xmlns="">
        <xdr:sp macro="" textlink="">
          <xdr:nvSpPr>
            <xdr:cNvPr id="0" name=""/>
            <xdr:cNvSpPr>
              <a:spLocks noTextEdit="1"/>
            </xdr:cNvSpPr>
          </xdr:nvSpPr>
          <xdr:spPr>
            <a:xfrm>
              <a:off x="6657975" y="5629275"/>
              <a:ext cx="5314951" cy="771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95250</xdr:colOff>
      <xdr:row>34</xdr:row>
      <xdr:rowOff>161925</xdr:rowOff>
    </xdr:from>
    <xdr:to>
      <xdr:col>12</xdr:col>
      <xdr:colOff>114300</xdr:colOff>
      <xdr:row>46</xdr:row>
      <xdr:rowOff>147636</xdr:rowOff>
    </xdr:to>
    <xdr:graphicFrame macro="">
      <xdr:nvGraphicFramePr>
        <xdr:cNvPr id="4" name="Chart 3">
          <a:extLst>
            <a:ext uri="{FF2B5EF4-FFF2-40B4-BE49-F238E27FC236}">
              <a16:creationId xmlns:a16="http://schemas.microsoft.com/office/drawing/2014/main" id="{130BED43-13D7-FDF2-165B-A191C372F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190500</xdr:colOff>
      <xdr:row>34</xdr:row>
      <xdr:rowOff>185737</xdr:rowOff>
    </xdr:from>
    <xdr:to>
      <xdr:col>19</xdr:col>
      <xdr:colOff>561975</xdr:colOff>
      <xdr:row>49</xdr:row>
      <xdr:rowOff>71437</xdr:rowOff>
    </xdr:to>
    <xdr:graphicFrame macro="">
      <xdr:nvGraphicFramePr>
        <xdr:cNvPr id="5" name="Chart 4">
          <a:extLst>
            <a:ext uri="{FF2B5EF4-FFF2-40B4-BE49-F238E27FC236}">
              <a16:creationId xmlns:a16="http://schemas.microsoft.com/office/drawing/2014/main" id="{D60A8210-007F-0379-7B6B-695F61FEA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114300</xdr:colOff>
      <xdr:row>1</xdr:row>
      <xdr:rowOff>152400</xdr:rowOff>
    </xdr:from>
    <xdr:to>
      <xdr:col>11</xdr:col>
      <xdr:colOff>866775</xdr:colOff>
      <xdr:row>4</xdr:row>
      <xdr:rowOff>76200</xdr:rowOff>
    </xdr:to>
    <xdr:sp macro="" textlink="">
      <xdr:nvSpPr>
        <xdr:cNvPr id="3" name="TextBox 2">
          <a:extLst>
            <a:ext uri="{FF2B5EF4-FFF2-40B4-BE49-F238E27FC236}">
              <a16:creationId xmlns:a16="http://schemas.microsoft.com/office/drawing/2014/main" id="{EFC4CE74-E0D2-5CAC-D72E-D353E15BA0EB}"/>
            </a:ext>
          </a:extLst>
        </xdr:cNvPr>
        <xdr:cNvSpPr txBox="1"/>
      </xdr:nvSpPr>
      <xdr:spPr>
        <a:xfrm>
          <a:off x="6477000" y="342900"/>
          <a:ext cx="3533775"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Use the slider to choose the plan you wish to study.</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1419223</xdr:colOff>
      <xdr:row>1</xdr:row>
      <xdr:rowOff>28575</xdr:rowOff>
    </xdr:from>
    <xdr:to>
      <xdr:col>13</xdr:col>
      <xdr:colOff>533400</xdr:colOff>
      <xdr:row>4</xdr:row>
      <xdr:rowOff>123825</xdr:rowOff>
    </xdr:to>
    <mc:AlternateContent xmlns:mc="http://schemas.openxmlformats.org/markup-compatibility/2006" xmlns:a14="http://schemas.microsoft.com/office/drawing/2010/main">
      <mc:Choice Requires="a14">
        <xdr:graphicFrame macro="">
          <xdr:nvGraphicFramePr>
            <xdr:cNvPr id="2" name="Plan 2">
              <a:extLst>
                <a:ext uri="{FF2B5EF4-FFF2-40B4-BE49-F238E27FC236}">
                  <a16:creationId xmlns:a16="http://schemas.microsoft.com/office/drawing/2014/main" id="{F2C803BC-4D6E-7F76-6CD2-BA19AEF5F773}"/>
                </a:ext>
              </a:extLst>
            </xdr:cNvPr>
            <xdr:cNvGraphicFramePr/>
          </xdr:nvGraphicFramePr>
          <xdr:xfrm>
            <a:off x="0" y="0"/>
            <a:ext cx="0" cy="0"/>
          </xdr:xfrm>
          <a:graphic>
            <a:graphicData uri="http://schemas.microsoft.com/office/drawing/2010/slicer">
              <sle:slicer xmlns:sle="http://schemas.microsoft.com/office/drawing/2010/slicer" name="Plan 2"/>
            </a:graphicData>
          </a:graphic>
        </xdr:graphicFrame>
      </mc:Choice>
      <mc:Fallback xmlns="">
        <xdr:sp macro="" textlink="">
          <xdr:nvSpPr>
            <xdr:cNvPr id="0" name=""/>
            <xdr:cNvSpPr>
              <a:spLocks noTextEdit="1"/>
            </xdr:cNvSpPr>
          </xdr:nvSpPr>
          <xdr:spPr>
            <a:xfrm>
              <a:off x="6076948" y="219075"/>
              <a:ext cx="6572252"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1057275</xdr:colOff>
      <xdr:row>15</xdr:row>
      <xdr:rowOff>42862</xdr:rowOff>
    </xdr:from>
    <xdr:to>
      <xdr:col>10</xdr:col>
      <xdr:colOff>0</xdr:colOff>
      <xdr:row>29</xdr:row>
      <xdr:rowOff>119062</xdr:rowOff>
    </xdr:to>
    <xdr:graphicFrame macro="">
      <xdr:nvGraphicFramePr>
        <xdr:cNvPr id="4" name="Chart 3">
          <a:extLst>
            <a:ext uri="{FF2B5EF4-FFF2-40B4-BE49-F238E27FC236}">
              <a16:creationId xmlns:a16="http://schemas.microsoft.com/office/drawing/2014/main" id="{376B9D72-978C-7A57-84FE-DBF40F3B6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114300</xdr:colOff>
      <xdr:row>15</xdr:row>
      <xdr:rowOff>33337</xdr:rowOff>
    </xdr:from>
    <xdr:to>
      <xdr:col>17</xdr:col>
      <xdr:colOff>419100</xdr:colOff>
      <xdr:row>29</xdr:row>
      <xdr:rowOff>109537</xdr:rowOff>
    </xdr:to>
    <xdr:graphicFrame macro="">
      <xdr:nvGraphicFramePr>
        <xdr:cNvPr id="5" name="Chart 4">
          <a:extLst>
            <a:ext uri="{FF2B5EF4-FFF2-40B4-BE49-F238E27FC236}">
              <a16:creationId xmlns:a16="http://schemas.microsoft.com/office/drawing/2014/main" id="{8025DEA4-8F30-6473-87AF-6959AB3534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171450</xdr:colOff>
      <xdr:row>25</xdr:row>
      <xdr:rowOff>9526</xdr:rowOff>
    </xdr:from>
    <xdr:to>
      <xdr:col>17</xdr:col>
      <xdr:colOff>628650</xdr:colOff>
      <xdr:row>30</xdr:row>
      <xdr:rowOff>123826</xdr:rowOff>
    </xdr:to>
    <mc:AlternateContent xmlns:mc="http://schemas.openxmlformats.org/markup-compatibility/2006" xmlns:a14="http://schemas.microsoft.com/office/drawing/2010/main">
      <mc:Choice Requires="a14">
        <xdr:graphicFrame macro="">
          <xdr:nvGraphicFramePr>
            <xdr:cNvPr id="2" name="Plan 1">
              <a:extLst>
                <a:ext uri="{FF2B5EF4-FFF2-40B4-BE49-F238E27FC236}">
                  <a16:creationId xmlns:a16="http://schemas.microsoft.com/office/drawing/2014/main" id="{3C55B643-478E-4758-C633-99F9C8974F2A}"/>
                </a:ext>
              </a:extLst>
            </xdr:cNvPr>
            <xdr:cNvGraphicFramePr/>
          </xdr:nvGraphicFramePr>
          <xdr:xfrm>
            <a:off x="0" y="0"/>
            <a:ext cx="0" cy="0"/>
          </xdr:xfrm>
          <a:graphic>
            <a:graphicData uri="http://schemas.microsoft.com/office/drawing/2010/slicer">
              <sle:slicer xmlns:sle="http://schemas.microsoft.com/office/drawing/2010/slicer" name="Plan 1"/>
            </a:graphicData>
          </a:graphic>
        </xdr:graphicFrame>
      </mc:Choice>
      <mc:Fallback xmlns="">
        <xdr:sp macro="" textlink="">
          <xdr:nvSpPr>
            <xdr:cNvPr id="0" name=""/>
            <xdr:cNvSpPr>
              <a:spLocks noTextEdit="1"/>
            </xdr:cNvSpPr>
          </xdr:nvSpPr>
          <xdr:spPr>
            <a:xfrm>
              <a:off x="11153775" y="4772026"/>
              <a:ext cx="337185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857250</xdr:colOff>
      <xdr:row>31</xdr:row>
      <xdr:rowOff>90487</xdr:rowOff>
    </xdr:from>
    <xdr:to>
      <xdr:col>15</xdr:col>
      <xdr:colOff>66675</xdr:colOff>
      <xdr:row>45</xdr:row>
      <xdr:rowOff>166687</xdr:rowOff>
    </xdr:to>
    <xdr:graphicFrame macro="">
      <xdr:nvGraphicFramePr>
        <xdr:cNvPr id="3" name="Chart 2">
          <a:extLst>
            <a:ext uri="{FF2B5EF4-FFF2-40B4-BE49-F238E27FC236}">
              <a16:creationId xmlns:a16="http://schemas.microsoft.com/office/drawing/2014/main" id="{6BED7ECE-1819-4E2D-B4F5-88CF53999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571500</xdr:colOff>
      <xdr:row>31</xdr:row>
      <xdr:rowOff>100012</xdr:rowOff>
    </xdr:from>
    <xdr:to>
      <xdr:col>22</xdr:col>
      <xdr:colOff>333375</xdr:colOff>
      <xdr:row>45</xdr:row>
      <xdr:rowOff>176212</xdr:rowOff>
    </xdr:to>
    <xdr:graphicFrame macro="">
      <xdr:nvGraphicFramePr>
        <xdr:cNvPr id="4" name="Chart 3">
          <a:extLst>
            <a:ext uri="{FF2B5EF4-FFF2-40B4-BE49-F238E27FC236}">
              <a16:creationId xmlns:a16="http://schemas.microsoft.com/office/drawing/2014/main" id="{D2DE5F01-7A12-145D-446C-1ABC9C1E0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161924</xdr:colOff>
      <xdr:row>0</xdr:row>
      <xdr:rowOff>133350</xdr:rowOff>
    </xdr:from>
    <xdr:to>
      <xdr:col>16</xdr:col>
      <xdr:colOff>114299</xdr:colOff>
      <xdr:row>4</xdr:row>
      <xdr:rowOff>114300</xdr:rowOff>
    </xdr:to>
    <mc:AlternateContent xmlns:mc="http://schemas.openxmlformats.org/markup-compatibility/2006" xmlns:a14="http://schemas.microsoft.com/office/drawing/2010/main">
      <mc:Choice Requires="a14">
        <xdr:graphicFrame macro="">
          <xdr:nvGraphicFramePr>
            <xdr:cNvPr id="2" name="Plan 3">
              <a:extLst>
                <a:ext uri="{FF2B5EF4-FFF2-40B4-BE49-F238E27FC236}">
                  <a16:creationId xmlns:a16="http://schemas.microsoft.com/office/drawing/2014/main" id="{E2C0058D-756F-80A1-8626-2BD991D0D908}"/>
                </a:ext>
              </a:extLst>
            </xdr:cNvPr>
            <xdr:cNvGraphicFramePr/>
          </xdr:nvGraphicFramePr>
          <xdr:xfrm>
            <a:off x="0" y="0"/>
            <a:ext cx="0" cy="0"/>
          </xdr:xfrm>
          <a:graphic>
            <a:graphicData uri="http://schemas.microsoft.com/office/drawing/2010/slicer">
              <sle:slicer xmlns:sle="http://schemas.microsoft.com/office/drawing/2010/slicer" name="Plan 3"/>
            </a:graphicData>
          </a:graphic>
        </xdr:graphicFrame>
      </mc:Choice>
      <mc:Fallback xmlns="">
        <xdr:sp macro="" textlink="">
          <xdr:nvSpPr>
            <xdr:cNvPr id="0" name=""/>
            <xdr:cNvSpPr>
              <a:spLocks noTextEdit="1"/>
            </xdr:cNvSpPr>
          </xdr:nvSpPr>
          <xdr:spPr>
            <a:xfrm>
              <a:off x="6219824" y="133350"/>
              <a:ext cx="7077075" cy="742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85725</xdr:colOff>
      <xdr:row>17</xdr:row>
      <xdr:rowOff>185737</xdr:rowOff>
    </xdr:from>
    <xdr:to>
      <xdr:col>12</xdr:col>
      <xdr:colOff>581025</xdr:colOff>
      <xdr:row>32</xdr:row>
      <xdr:rowOff>71437</xdr:rowOff>
    </xdr:to>
    <xdr:graphicFrame macro="">
      <xdr:nvGraphicFramePr>
        <xdr:cNvPr id="3" name="Chart 2">
          <a:extLst>
            <a:ext uri="{FF2B5EF4-FFF2-40B4-BE49-F238E27FC236}">
              <a16:creationId xmlns:a16="http://schemas.microsoft.com/office/drawing/2014/main" id="{54479C64-F13A-43B4-CC28-E0B8377E9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238125</xdr:colOff>
      <xdr:row>17</xdr:row>
      <xdr:rowOff>176212</xdr:rowOff>
    </xdr:from>
    <xdr:to>
      <xdr:col>20</xdr:col>
      <xdr:colOff>542925</xdr:colOff>
      <xdr:row>32</xdr:row>
      <xdr:rowOff>61912</xdr:rowOff>
    </xdr:to>
    <xdr:graphicFrame macro="">
      <xdr:nvGraphicFramePr>
        <xdr:cNvPr id="4" name="Chart 3">
          <a:extLst>
            <a:ext uri="{FF2B5EF4-FFF2-40B4-BE49-F238E27FC236}">
              <a16:creationId xmlns:a16="http://schemas.microsoft.com/office/drawing/2014/main" id="{68A91E31-9414-675B-61B1-A73503BC6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152399</xdr:colOff>
      <xdr:row>1</xdr:row>
      <xdr:rowOff>152400</xdr:rowOff>
    </xdr:from>
    <xdr:to>
      <xdr:col>16</xdr:col>
      <xdr:colOff>533399</xdr:colOff>
      <xdr:row>5</xdr:row>
      <xdr:rowOff>104775</xdr:rowOff>
    </xdr:to>
    <mc:AlternateContent xmlns:mc="http://schemas.openxmlformats.org/markup-compatibility/2006" xmlns:a14="http://schemas.microsoft.com/office/drawing/2010/main">
      <mc:Choice Requires="a14">
        <xdr:graphicFrame macro="">
          <xdr:nvGraphicFramePr>
            <xdr:cNvPr id="2" name="Plan 4">
              <a:extLst>
                <a:ext uri="{FF2B5EF4-FFF2-40B4-BE49-F238E27FC236}">
                  <a16:creationId xmlns:a16="http://schemas.microsoft.com/office/drawing/2014/main" id="{821C3EA0-BA0C-ADF7-5440-907639BCD443}"/>
                </a:ext>
              </a:extLst>
            </xdr:cNvPr>
            <xdr:cNvGraphicFramePr/>
          </xdr:nvGraphicFramePr>
          <xdr:xfrm>
            <a:off x="0" y="0"/>
            <a:ext cx="0" cy="0"/>
          </xdr:xfrm>
          <a:graphic>
            <a:graphicData uri="http://schemas.microsoft.com/office/drawing/2010/slicer">
              <sle:slicer xmlns:sle="http://schemas.microsoft.com/office/drawing/2010/slicer" name="Plan 4"/>
            </a:graphicData>
          </a:graphic>
        </xdr:graphicFrame>
      </mc:Choice>
      <mc:Fallback xmlns="">
        <xdr:sp macro="" textlink="">
          <xdr:nvSpPr>
            <xdr:cNvPr id="0" name=""/>
            <xdr:cNvSpPr>
              <a:spLocks noTextEdit="1"/>
            </xdr:cNvSpPr>
          </xdr:nvSpPr>
          <xdr:spPr>
            <a:xfrm>
              <a:off x="14325599" y="342900"/>
              <a:ext cx="6296025" cy="71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104775</xdr:colOff>
      <xdr:row>0</xdr:row>
      <xdr:rowOff>109537</xdr:rowOff>
    </xdr:from>
    <xdr:to>
      <xdr:col>11</xdr:col>
      <xdr:colOff>409575</xdr:colOff>
      <xdr:row>14</xdr:row>
      <xdr:rowOff>128587</xdr:rowOff>
    </xdr:to>
    <xdr:graphicFrame macro="">
      <xdr:nvGraphicFramePr>
        <xdr:cNvPr id="2" name="Chart 1">
          <a:extLst>
            <a:ext uri="{FF2B5EF4-FFF2-40B4-BE49-F238E27FC236}">
              <a16:creationId xmlns:a16="http://schemas.microsoft.com/office/drawing/2014/main" id="{7C1073B3-2665-8756-86D6-2FC0A72B5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161925</xdr:colOff>
      <xdr:row>16</xdr:row>
      <xdr:rowOff>52387</xdr:rowOff>
    </xdr:from>
    <xdr:to>
      <xdr:col>11</xdr:col>
      <xdr:colOff>466725</xdr:colOff>
      <xdr:row>30</xdr:row>
      <xdr:rowOff>128587</xdr:rowOff>
    </xdr:to>
    <xdr:graphicFrame macro="">
      <xdr:nvGraphicFramePr>
        <xdr:cNvPr id="3" name="Chart 2">
          <a:extLst>
            <a:ext uri="{FF2B5EF4-FFF2-40B4-BE49-F238E27FC236}">
              <a16:creationId xmlns:a16="http://schemas.microsoft.com/office/drawing/2014/main" id="{1B4A1F1F-2D14-5C69-E1CF-A88D2231C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390525</xdr:colOff>
      <xdr:row>17</xdr:row>
      <xdr:rowOff>190499</xdr:rowOff>
    </xdr:from>
    <xdr:to>
      <xdr:col>2</xdr:col>
      <xdr:colOff>476250</xdr:colOff>
      <xdr:row>42</xdr:row>
      <xdr:rowOff>76200</xdr:rowOff>
    </xdr:to>
    <xdr:sp macro="" textlink="">
      <xdr:nvSpPr>
        <xdr:cNvPr id="2" name="TextBox 1">
          <a:extLst>
            <a:ext uri="{FF2B5EF4-FFF2-40B4-BE49-F238E27FC236}">
              <a16:creationId xmlns:a16="http://schemas.microsoft.com/office/drawing/2014/main" id="{2F7B5B2B-9106-D8B9-2F36-6349DB86BA96}"/>
            </a:ext>
          </a:extLst>
        </xdr:cNvPr>
        <xdr:cNvSpPr txBox="1"/>
      </xdr:nvSpPr>
      <xdr:spPr>
        <a:xfrm>
          <a:off x="1343025" y="3428999"/>
          <a:ext cx="3257550" cy="46482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Column B</a:t>
          </a:r>
        </a:p>
        <a:p>
          <a:r>
            <a:rPr lang="en-US" sz="1100"/>
            <a:t>Preferred for </a:t>
          </a:r>
          <a:r>
            <a:rPr lang="en-US" sz="1100" b="1" i="0" u="none" strike="noStrike">
              <a:solidFill>
                <a:schemeClr val="dk1"/>
              </a:solidFill>
              <a:effectLst/>
              <a:latin typeface="+mn-lt"/>
              <a:ea typeface="+mn-ea"/>
              <a:cs typeface="+mn-cs"/>
            </a:rPr>
            <a:t>Retiree_Accrued_Liability_to_Total_Accrued_Liability</a:t>
          </a:r>
          <a:r>
            <a:rPr lang="en-US" b="1"/>
            <a:t>  </a:t>
          </a:r>
        </a:p>
        <a:p>
          <a:r>
            <a:rPr lang="en-US" sz="1100" b="0"/>
            <a:t>is a ratio below 60%. The two main plans</a:t>
          </a:r>
          <a:r>
            <a:rPr lang="en-US" sz="1100" b="0" baseline="0"/>
            <a:t> are both above 60% and increasing.</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latin typeface="+mn-lt"/>
              <a:ea typeface="+mn-ea"/>
              <a:cs typeface="+mn-cs"/>
            </a:rPr>
            <a:t>Retiree Accrued Liability/Total Accrued Liability</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b="1" i="0" u="none" strike="noStrike" baseline="0">
              <a:solidFill>
                <a:schemeClr val="dk1"/>
              </a:solidFill>
              <a:latin typeface="+mn-lt"/>
              <a:ea typeface="+mn-ea"/>
              <a:cs typeface="+mn-cs"/>
            </a:rPr>
            <a:t>Column C</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latin typeface="+mn-lt"/>
              <a:ea typeface="+mn-ea"/>
              <a:cs typeface="+mn-cs"/>
            </a:rPr>
            <a:t>Preferred for </a:t>
          </a:r>
          <a:r>
            <a:rPr lang="en-US" sz="1100" b="1" i="0" u="none" strike="noStrike" baseline="0">
              <a:solidFill>
                <a:schemeClr val="dk1"/>
              </a:solidFill>
              <a:latin typeface="+mn-lt"/>
              <a:ea typeface="+mn-ea"/>
              <a:cs typeface="+mn-cs"/>
            </a:rPr>
            <a:t>Support Ratio </a:t>
          </a:r>
          <a:r>
            <a:rPr lang="en-US" sz="1100" b="0" i="0" u="none" strike="noStrike" baseline="0">
              <a:solidFill>
                <a:schemeClr val="dk1"/>
              </a:solidFill>
              <a:latin typeface="+mn-lt"/>
              <a:ea typeface="+mn-ea"/>
              <a:cs typeface="+mn-cs"/>
            </a:rPr>
            <a:t>is a ratio above 50%. CalPERS is at 77%. The two main plans are below 25%.</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latin typeface="+mn-lt"/>
              <a:ea typeface="+mn-ea"/>
              <a:cs typeface="+mn-cs"/>
            </a:rPr>
            <a:t>Number of Actives/Number of Retirees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Column D</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latin typeface="+mn-lt"/>
              <a:ea typeface="+mn-ea"/>
              <a:cs typeface="+mn-cs"/>
            </a:rPr>
            <a:t>Preferred for </a:t>
          </a:r>
          <a:r>
            <a:rPr lang="en-US" sz="1100" b="1" i="0" u="none" strike="noStrike" baseline="0">
              <a:solidFill>
                <a:schemeClr val="dk1"/>
              </a:solidFill>
              <a:latin typeface="+mn-lt"/>
              <a:ea typeface="+mn-ea"/>
              <a:cs typeface="+mn-cs"/>
            </a:rPr>
            <a:t>Asset Volatility </a:t>
          </a:r>
          <a:r>
            <a:rPr lang="en-US" sz="1100" b="0" i="0" u="none" strike="noStrike" baseline="0">
              <a:solidFill>
                <a:schemeClr val="dk1"/>
              </a:solidFill>
              <a:latin typeface="+mn-lt"/>
              <a:ea typeface="+mn-ea"/>
              <a:cs typeface="+mn-cs"/>
            </a:rPr>
            <a:t>is a ratio below 4.</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latin typeface="+mn-lt"/>
              <a:ea typeface="+mn-ea"/>
              <a:cs typeface="+mn-cs"/>
            </a:rPr>
            <a:t>The safety plan is almost  at 20 and the miscellaneous plan is slightly below 12.</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latin typeface="+mn-lt"/>
              <a:ea typeface="+mn-ea"/>
              <a:cs typeface="+mn-cs"/>
            </a:rPr>
            <a:t>Market Value of Assets/Payroll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Column E</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latin typeface="+mn-lt"/>
              <a:ea typeface="+mn-ea"/>
              <a:cs typeface="+mn-cs"/>
            </a:rPr>
            <a:t>Preferred for </a:t>
          </a:r>
          <a:r>
            <a:rPr lang="en-US" sz="1100" b="1" i="0" u="none" strike="noStrike" baseline="0">
              <a:solidFill>
                <a:schemeClr val="dk1"/>
              </a:solidFill>
              <a:latin typeface="+mn-lt"/>
              <a:ea typeface="+mn-ea"/>
              <a:cs typeface="+mn-cs"/>
            </a:rPr>
            <a:t>Liability Volatility Ratio </a:t>
          </a:r>
          <a:r>
            <a:rPr lang="en-US" sz="1100" b="0" i="0" u="none" strike="noStrike" baseline="0">
              <a:solidFill>
                <a:schemeClr val="dk1"/>
              </a:solidFill>
              <a:latin typeface="+mn-lt"/>
              <a:ea typeface="+mn-ea"/>
              <a:cs typeface="+mn-cs"/>
            </a:rPr>
            <a:t>is a ratio below 3. Classic is 31 and Miscellaneous is 19 and both are increasing.</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latin typeface="+mn-lt"/>
              <a:ea typeface="+mn-ea"/>
              <a:cs typeface="+mn-cs"/>
            </a:rPr>
            <a:t>Accrued Liability/</a:t>
          </a:r>
          <a:r>
            <a:rPr lang="en-US" sz="1100" b="0" i="0" baseline="0">
              <a:solidFill>
                <a:schemeClr val="dk1"/>
              </a:solidFill>
              <a:effectLst/>
              <a:latin typeface="+mn-lt"/>
              <a:ea typeface="+mn-ea"/>
              <a:cs typeface="+mn-cs"/>
            </a:rPr>
            <a:t>Payroll</a:t>
          </a:r>
          <a:r>
            <a:rPr lang="en-US" sz="1100" b="0" i="0" u="none" strike="noStrike" baseline="0">
              <a:solidFill>
                <a:schemeClr val="dk1"/>
              </a:solidFill>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none" strike="noStrike" baseline="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none" strike="noStrike" baseline="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none" strike="noStrike" baseline="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none" strike="noStrike" baseline="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none" strike="noStrike" baseline="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none" strike="noStrike" baseline="0">
            <a:solidFill>
              <a:schemeClr val="dk1"/>
            </a:solidFill>
            <a:latin typeface="+mn-lt"/>
            <a:ea typeface="+mn-ea"/>
            <a:cs typeface="+mn-cs"/>
          </a:endParaRPr>
        </a:p>
        <a:p>
          <a:endParaRPr lang="en-US" sz="1100" b="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304800</xdr:colOff>
      <xdr:row>6</xdr:row>
      <xdr:rowOff>85725</xdr:rowOff>
    </xdr:from>
    <xdr:to>
      <xdr:col>7</xdr:col>
      <xdr:colOff>123825</xdr:colOff>
      <xdr:row>9</xdr:row>
      <xdr:rowOff>28575</xdr:rowOff>
    </xdr:to>
    <xdr:sp macro="" textlink="">
      <xdr:nvSpPr>
        <xdr:cNvPr id="2" name="TextBox 1">
          <a:extLst>
            <a:ext uri="{FF2B5EF4-FFF2-40B4-BE49-F238E27FC236}">
              <a16:creationId xmlns:a16="http://schemas.microsoft.com/office/drawing/2014/main" id="{69097440-9C71-A6F5-E3D3-1DFE15C620BE}"/>
            </a:ext>
          </a:extLst>
        </xdr:cNvPr>
        <xdr:cNvSpPr txBox="1"/>
      </xdr:nvSpPr>
      <xdr:spPr>
        <a:xfrm>
          <a:off x="914400" y="1228725"/>
          <a:ext cx="3857625"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2024, the projection</a:t>
          </a:r>
          <a:r>
            <a:rPr lang="en-US" sz="1100" baseline="0"/>
            <a:t> for 2026 was </a:t>
          </a:r>
          <a:r>
            <a:rPr lang="en-US" sz="1100" b="0" i="0" u="none" strike="noStrike">
              <a:solidFill>
                <a:schemeClr val="dk1"/>
              </a:solidFill>
              <a:effectLst/>
              <a:latin typeface="+mn-lt"/>
              <a:ea typeface="+mn-ea"/>
              <a:cs typeface="+mn-cs"/>
            </a:rPr>
            <a:t>$4,145,733. The actual payment will be </a:t>
          </a:r>
          <a:r>
            <a:rPr lang="en-US"/>
            <a:t> </a:t>
          </a:r>
          <a:r>
            <a:rPr lang="en-US" sz="1100" b="0" i="0" u="none" strike="noStrike">
              <a:solidFill>
                <a:schemeClr val="dk1"/>
              </a:solidFill>
              <a:effectLst/>
              <a:latin typeface="+mn-lt"/>
              <a:ea typeface="+mn-ea"/>
              <a:cs typeface="+mn-cs"/>
            </a:rPr>
            <a:t>$5,496,179. This is for the classic safety plan.</a:t>
          </a:r>
          <a:r>
            <a:rPr lang="en-US"/>
            <a:t> </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a Sharenow" refreshedDate="45845.796116319441" createdVersion="8" refreshedVersion="8" minRefreshableVersion="3" recordCount="100" xr:uid="{50B8B027-251D-41B3-8B7B-A37E96DD813E}">
  <cacheSource type="worksheet">
    <worksheetSource name="Composite_AmortSch"/>
  </cacheSource>
  <cacheFields count="4">
    <cacheField name="FY" numFmtId="0">
      <sharedItems containsSemiMixedTypes="0" containsString="0" containsNumber="1" containsInteger="1" minValue="2026" maxValue="2046" count="21">
        <n v="2026"/>
        <n v="2027"/>
        <n v="2028"/>
        <n v="2029"/>
        <n v="2030"/>
        <n v="2031"/>
        <n v="2032"/>
        <n v="2033"/>
        <n v="2034"/>
        <n v="2035"/>
        <n v="2036"/>
        <n v="2037"/>
        <n v="2038"/>
        <n v="2039"/>
        <n v="2040"/>
        <n v="2041"/>
        <n v="2042"/>
        <n v="2043"/>
        <n v="2044"/>
        <n v="2045"/>
        <n v="2046"/>
      </sharedItems>
    </cacheField>
    <cacheField name="Balance" numFmtId="164">
      <sharedItems containsSemiMixedTypes="0" containsString="0" containsNumber="1" containsInteger="1" minValue="6962" maxValue="61500802"/>
    </cacheField>
    <cacheField name="Payment" numFmtId="164">
      <sharedItems containsSemiMixedTypes="0" containsString="0" containsNumber="1" containsInteger="1" minValue="7195" maxValue="7146499" count="65">
        <n v="5496179"/>
        <n v="5838815"/>
        <n v="6127277"/>
        <n v="6701368"/>
        <n v="6857769"/>
        <n v="7000141"/>
        <n v="7146499"/>
        <n v="7117124"/>
        <n v="7081893"/>
        <n v="6976205"/>
        <n v="5728517"/>
        <n v="5325122"/>
        <n v="3714932"/>
        <n v="3438206"/>
        <n v="3218279"/>
        <n v="3081453"/>
        <n v="2678295"/>
        <n v="2276413"/>
        <n v="3435801"/>
        <n v="699755"/>
        <n v="15379"/>
        <n v="2430053"/>
        <n v="2572192"/>
        <n v="2691885"/>
        <n v="2928664"/>
        <n v="2998492"/>
        <n v="3062914"/>
        <n v="2588662"/>
        <n v="2572006"/>
        <n v="2552934"/>
        <n v="2505213"/>
        <n v="2321639"/>
        <n v="1478800"/>
        <n v="1373728"/>
        <n v="1262153"/>
        <n v="1173784"/>
        <n v="1114930"/>
        <n v="966732"/>
        <n v="811646"/>
        <n v="1324722"/>
        <n v="222482"/>
        <n v="22609"/>
        <n v="28021"/>
        <n v="33435"/>
        <n v="32004"/>
        <n v="32293"/>
        <n v="32294"/>
        <n v="32295"/>
        <n v="32296"/>
        <n v="50642"/>
        <n v="62054"/>
        <n v="73465"/>
        <n v="67901"/>
        <n v="68563"/>
        <n v="68564"/>
        <n v="68562"/>
        <n v="9773"/>
        <n v="24095"/>
        <n v="32076"/>
        <n v="40057"/>
        <n v="48037"/>
        <n v="48474"/>
        <n v="48473"/>
        <n v="48475"/>
        <n v="7195"/>
      </sharedItems>
    </cacheField>
    <cacheField name="Plan" numFmtId="0">
      <sharedItems count="5">
        <s v="Classic Safety"/>
        <s v="Classic Misc"/>
        <s v="PEPRA Fire"/>
        <s v="PEPRA Police"/>
        <s v="PEPRA Misc"/>
      </sharedItems>
    </cacheField>
  </cacheFields>
  <extLst>
    <ext xmlns:x14="http://schemas.microsoft.com/office/spreadsheetml/2009/9/main" uri="{725AE2AE-9491-48be-B2B4-4EB974FC3084}">
      <x14:pivotCacheDefinition pivotCacheId="18781686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a Sharenow" refreshedDate="45846.021116435186" createdVersion="8" refreshedVersion="8" minRefreshableVersion="3" recordCount="122" xr:uid="{B5A0FB1A-C037-4513-A621-1C1B23546062}">
  <cacheSource type="worksheet">
    <worksheetSource name="ProjAmortSched"/>
  </cacheSource>
  <cacheFields count="4">
    <cacheField name="FY" numFmtId="0">
      <sharedItems containsSemiMixedTypes="0" containsString="0" containsNumber="1" containsInteger="1" minValue="2026" maxValue="2046" count="21">
        <n v="2026"/>
        <n v="2027"/>
        <n v="2028"/>
        <n v="2029"/>
        <n v="2030"/>
        <n v="2031"/>
        <n v="2032"/>
        <n v="2033"/>
        <n v="2034"/>
        <n v="2035"/>
        <n v="2036"/>
        <n v="2037"/>
        <n v="2038"/>
        <n v="2039"/>
        <n v="2040"/>
        <n v="2041"/>
        <n v="2042"/>
        <n v="2043"/>
        <n v="2044"/>
        <n v="2045"/>
        <n v="2046"/>
      </sharedItems>
    </cacheField>
    <cacheField name="UAL" numFmtId="164">
      <sharedItems containsSemiMixedTypes="0" containsString="0" containsNumber="1" containsInteger="1" minValue="4161" maxValue="87633459"/>
    </cacheField>
    <cacheField name="UAL Payment" numFmtId="164">
      <sharedItems containsSemiMixedTypes="0" containsString="0" containsNumber="1" containsInteger="1" minValue="4300" maxValue="10212386"/>
    </cacheField>
    <cacheField name="Plan" numFmtId="0">
      <sharedItems count="6">
        <s v="Classic Safety"/>
        <s v="Classic Miscellaneous"/>
        <s v="PEPRA  Fire"/>
        <s v="PEPRA Police"/>
        <s v="PEPRA Miscellaneous"/>
        <s v="Total"/>
      </sharedItems>
    </cacheField>
  </cacheFields>
  <extLst>
    <ext xmlns:x14="http://schemas.microsoft.com/office/spreadsheetml/2009/9/main" uri="{725AE2AE-9491-48be-B2B4-4EB974FC3084}">
      <x14:pivotCacheDefinition pivotCacheId="158727653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a Sharenow" refreshedDate="45846.418301157406" createdVersion="8" refreshedVersion="8" minRefreshableVersion="3" recordCount="36" xr:uid="{7C9A58AE-9B70-46BD-A235-11C82885A3BA}">
  <cacheSource type="worksheet">
    <worksheetSource name="Table11"/>
  </cacheSource>
  <cacheFields count="3">
    <cacheField name="FY" numFmtId="0">
      <sharedItems containsSemiMixedTypes="0" containsString="0" containsNumber="1" containsInteger="1" minValue="2026" maxValue="2031" count="6">
        <n v="2026"/>
        <n v="2027"/>
        <n v="2028"/>
        <n v="2029"/>
        <n v="2030"/>
        <n v="2031"/>
      </sharedItems>
    </cacheField>
    <cacheField name="UAL Payment" numFmtId="164">
      <sharedItems containsSemiMixedTypes="0" containsString="0" containsNumber="1" containsInteger="1" minValue="22609" maxValue="10212000"/>
    </cacheField>
    <cacheField name="Plan" numFmtId="0">
      <sharedItems count="6">
        <s v="Classic Safety"/>
        <s v="Classic Miscellaneous"/>
        <s v="PEPRA  Fire"/>
        <s v="PEPRA Police"/>
        <s v="PEPRA Miscellaneous"/>
        <s v="Total"/>
      </sharedItems>
    </cacheField>
  </cacheFields>
  <extLst>
    <ext xmlns:x14="http://schemas.microsoft.com/office/spreadsheetml/2009/9/main" uri="{725AE2AE-9491-48be-B2B4-4EB974FC3084}">
      <x14:pivotCacheDefinition pivotCacheId="163435348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a Sharenow" refreshedDate="45846.426572337965" createdVersion="8" refreshedVersion="8" minRefreshableVersion="3" recordCount="60" xr:uid="{1EB9D770-F72E-410B-9B0E-D8D8507CA90A}">
  <cacheSource type="worksheet">
    <worksheetSource name="Table12"/>
  </cacheSource>
  <cacheFields count="5">
    <cacheField name="Valuation_x000a_Date" numFmtId="167">
      <sharedItems containsSemiMixedTypes="0" containsNonDate="0" containsDate="1" containsString="0" minDate="2014-06-30T00:00:00" maxDate="2023-07-01T00:00:00"/>
    </cacheField>
    <cacheField name="FY" numFmtId="0">
      <sharedItems containsSemiMixedTypes="0" containsString="0" containsNumber="1" containsInteger="1" minValue="2017" maxValue="2026" count="10">
        <n v="2017"/>
        <n v="2018"/>
        <n v="2019"/>
        <n v="2020"/>
        <n v="2021"/>
        <n v="2022"/>
        <n v="2023"/>
        <n v="2024"/>
        <n v="2025"/>
        <n v="2026"/>
      </sharedItems>
    </cacheField>
    <cacheField name="Employer_x000a_Normal Cost Rate" numFmtId="165">
      <sharedItems containsString="0" containsBlank="1" containsNumber="1" minValue="6.5329999999999999E-2" maxValue="0.27379999999999999"/>
    </cacheField>
    <cacheField name="UAL Payment" numFmtId="164">
      <sharedItems containsSemiMixedTypes="0" containsString="0" containsNumber="1" containsInteger="1" minValue="0" maxValue="8023578"/>
    </cacheField>
    <cacheField name="Plan" numFmtId="0">
      <sharedItems count="6">
        <s v="Classic Safety"/>
        <s v="Classic Miscellaneous"/>
        <s v="PEPRA  Fire"/>
        <s v="PEPRA Police"/>
        <s v="PEPRA Miscellaneous"/>
        <s v="Total"/>
      </sharedItems>
    </cacheField>
  </cacheFields>
  <extLst>
    <ext xmlns:x14="http://schemas.microsoft.com/office/spreadsheetml/2009/9/main" uri="{725AE2AE-9491-48be-B2B4-4EB974FC3084}">
      <x14:pivotCacheDefinition pivotCacheId="142160040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a Sharenow" refreshedDate="45846.437102314812" createdVersion="8" refreshedVersion="8" minRefreshableVersion="3" recordCount="60" xr:uid="{27037EE8-4584-464A-AD54-873362D7A591}">
  <cacheSource type="worksheet">
    <worksheetSource name="Table13"/>
  </cacheSource>
  <cacheFields count="8">
    <cacheField name="Valuation_x000a_Date" numFmtId="167">
      <sharedItems containsSemiMixedTypes="0" containsNonDate="0" containsDate="1" containsString="0" minDate="2014-06-30T00:00:00" maxDate="2023-07-01T00:00:00"/>
    </cacheField>
    <cacheField name="FY" numFmtId="0">
      <sharedItems containsSemiMixedTypes="0" containsString="0" containsNumber="1" containsInteger="1" minValue="2017" maxValue="2026" count="10">
        <n v="2017"/>
        <n v="2018"/>
        <n v="2019"/>
        <n v="2020"/>
        <n v="2021"/>
        <n v="2022"/>
        <n v="2023"/>
        <n v="2024"/>
        <n v="2025"/>
        <n v="2026"/>
      </sharedItems>
    </cacheField>
    <cacheField name="Accrued Liability (AL)" numFmtId="164">
      <sharedItems containsSemiMixedTypes="0" containsString="0" containsNumber="1" containsInteger="1" minValue="34081" maxValue="253499942"/>
    </cacheField>
    <cacheField name="Share of Pool’s Market Value of Assets (MVA)" numFmtId="164">
      <sharedItems containsString="0" containsBlank="1" containsNumber="1" containsInteger="1" minValue="35559" maxValue="120388390"/>
    </cacheField>
    <cacheField name="Unfunded Accrued Liability (UAL)" numFmtId="164">
      <sharedItems containsSemiMixedTypes="0" containsString="0" containsNumber="1" containsInteger="1" minValue="-69878" maxValue="89246893"/>
    </cacheField>
    <cacheField name="Funded_x000a_Ratio" numFmtId="165">
      <sharedItems containsString="0" containsBlank="1" containsNumber="1" minValue="0.63700000000000001" maxValue="1.115"/>
    </cacheField>
    <cacheField name="Annual Covered Payroll" numFmtId="164">
      <sharedItems containsSemiMixedTypes="0" containsString="0" containsNumber="1" containsInteger="1" minValue="100525" maxValue="17471687"/>
    </cacheField>
    <cacheField name="Plan" numFmtId="0">
      <sharedItems count="6">
        <s v="Classic Safety"/>
        <s v="Classic Miscellaneous"/>
        <s v="PEPRA  Fire"/>
        <s v="PEPRA Police"/>
        <s v="PEPRA Miscellaneous"/>
        <s v="Total"/>
      </sharedItems>
    </cacheField>
  </cacheFields>
  <extLst>
    <ext xmlns:x14="http://schemas.microsoft.com/office/spreadsheetml/2009/9/main" uri="{725AE2AE-9491-48be-B2B4-4EB974FC3084}">
      <x14:pivotCacheDefinition pivotCacheId="152694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61500802"/>
    <x v="0"/>
    <x v="0"/>
  </r>
  <r>
    <x v="1"/>
    <n v="60002882"/>
    <x v="1"/>
    <x v="0"/>
  </r>
  <r>
    <x v="2"/>
    <n v="58049007"/>
    <x v="2"/>
    <x v="0"/>
  </r>
  <r>
    <x v="3"/>
    <n v="55664161"/>
    <x v="3"/>
    <x v="0"/>
  </r>
  <r>
    <x v="4"/>
    <n v="52523858"/>
    <x v="4"/>
    <x v="0"/>
  </r>
  <r>
    <x v="5"/>
    <n v="49008381"/>
    <x v="5"/>
    <x v="0"/>
  </r>
  <r>
    <x v="6"/>
    <n v="45106718"/>
    <x v="6"/>
    <x v="0"/>
  </r>
  <r>
    <x v="7"/>
    <n v="40788491"/>
    <x v="7"/>
    <x v="0"/>
  </r>
  <r>
    <x v="8"/>
    <n v="36206981"/>
    <x v="8"/>
    <x v="0"/>
  </r>
  <r>
    <x v="9"/>
    <n v="31350339"/>
    <x v="9"/>
    <x v="0"/>
  </r>
  <r>
    <x v="10"/>
    <n v="26272665"/>
    <x v="10"/>
    <x v="0"/>
  </r>
  <r>
    <x v="11"/>
    <n v="22139120"/>
    <x v="11"/>
    <x v="0"/>
  </r>
  <r>
    <x v="12"/>
    <n v="18141382"/>
    <x v="12"/>
    <x v="0"/>
  </r>
  <r>
    <x v="13"/>
    <n v="15535836"/>
    <x v="13"/>
    <x v="0"/>
  </r>
  <r>
    <x v="14"/>
    <n v="13039093"/>
    <x v="14"/>
    <x v="0"/>
  </r>
  <r>
    <x v="15"/>
    <n v="10599853"/>
    <x v="15"/>
    <x v="0"/>
  </r>
  <r>
    <x v="16"/>
    <n v="8136144"/>
    <x v="16"/>
    <x v="0"/>
  </r>
  <r>
    <x v="17"/>
    <n v="5921542"/>
    <x v="17"/>
    <x v="0"/>
  </r>
  <r>
    <x v="18"/>
    <n v="3971670"/>
    <x v="18"/>
    <x v="0"/>
  </r>
  <r>
    <x v="19"/>
    <n v="691044"/>
    <x v="19"/>
    <x v="0"/>
  </r>
  <r>
    <x v="20"/>
    <n v="14881"/>
    <x v="20"/>
    <x v="0"/>
  </r>
  <r>
    <x v="0"/>
    <n v="24585563"/>
    <x v="21"/>
    <x v="1"/>
  </r>
  <r>
    <x v="1"/>
    <n v="23746065"/>
    <x v="22"/>
    <x v="1"/>
  </r>
  <r>
    <x v="2"/>
    <n v="22702590"/>
    <x v="23"/>
    <x v="1"/>
  </r>
  <r>
    <x v="3"/>
    <n v="21464462"/>
    <x v="24"/>
    <x v="1"/>
  </r>
  <r>
    <x v="4"/>
    <n v="19897442"/>
    <x v="25"/>
    <x v="1"/>
  </r>
  <r>
    <x v="5"/>
    <n v="18151704"/>
    <x v="26"/>
    <x v="1"/>
  </r>
  <r>
    <x v="6"/>
    <n v="16220680"/>
    <x v="27"/>
    <x v="1"/>
  </r>
  <r>
    <x v="7"/>
    <n v="14648455"/>
    <x v="28"/>
    <x v="1"/>
  </r>
  <r>
    <x v="8"/>
    <n v="12986535"/>
    <x v="29"/>
    <x v="1"/>
  </r>
  <r>
    <x v="9"/>
    <n v="11231314"/>
    <x v="30"/>
    <x v="1"/>
  </r>
  <r>
    <x v="10"/>
    <n v="9406054"/>
    <x v="31"/>
    <x v="1"/>
  </r>
  <r>
    <x v="11"/>
    <n v="7646390"/>
    <x v="32"/>
    <x v="1"/>
  </r>
  <r>
    <x v="12"/>
    <n v="6638092"/>
    <x v="33"/>
    <x v="1"/>
  </r>
  <r>
    <x v="13"/>
    <n v="5669815"/>
    <x v="34"/>
    <x v="1"/>
  </r>
  <r>
    <x v="14"/>
    <n v="4751003"/>
    <x v="35"/>
    <x v="1"/>
  </r>
  <r>
    <x v="15"/>
    <n v="3861036"/>
    <x v="36"/>
    <x v="1"/>
  </r>
  <r>
    <x v="16"/>
    <n v="2971373"/>
    <x v="37"/>
    <x v="1"/>
  </r>
  <r>
    <x v="17"/>
    <n v="2174366"/>
    <x v="38"/>
    <x v="1"/>
  </r>
  <r>
    <x v="18"/>
    <n v="1483433"/>
    <x v="39"/>
    <x v="1"/>
  </r>
  <r>
    <x v="19"/>
    <n v="215283"/>
    <x v="40"/>
    <x v="1"/>
  </r>
  <r>
    <x v="0"/>
    <n v="338865"/>
    <x v="41"/>
    <x v="2"/>
  </r>
  <r>
    <x v="1"/>
    <n v="338542"/>
    <x v="42"/>
    <x v="2"/>
  </r>
  <r>
    <x v="2"/>
    <n v="332604"/>
    <x v="43"/>
    <x v="2"/>
  </r>
  <r>
    <x v="3"/>
    <n v="320667"/>
    <x v="44"/>
    <x v="2"/>
  </r>
  <r>
    <x v="4"/>
    <n v="309398"/>
    <x v="45"/>
    <x v="2"/>
  </r>
  <r>
    <x v="5"/>
    <n v="297065"/>
    <x v="46"/>
    <x v="2"/>
  </r>
  <r>
    <x v="6"/>
    <n v="283891"/>
    <x v="46"/>
    <x v="2"/>
  </r>
  <r>
    <x v="7"/>
    <n v="269821"/>
    <x v="46"/>
    <x v="2"/>
  </r>
  <r>
    <x v="8"/>
    <n v="254796"/>
    <x v="47"/>
    <x v="2"/>
  </r>
  <r>
    <x v="9"/>
    <n v="238746"/>
    <x v="45"/>
    <x v="2"/>
  </r>
  <r>
    <x v="10"/>
    <n v="221607"/>
    <x v="45"/>
    <x v="2"/>
  </r>
  <r>
    <x v="11"/>
    <n v="203304"/>
    <x v="47"/>
    <x v="2"/>
  </r>
  <r>
    <x v="12"/>
    <n v="183754"/>
    <x v="47"/>
    <x v="2"/>
  </r>
  <r>
    <x v="13"/>
    <n v="162875"/>
    <x v="47"/>
    <x v="2"/>
  </r>
  <r>
    <x v="14"/>
    <n v="140575"/>
    <x v="47"/>
    <x v="2"/>
  </r>
  <r>
    <x v="15"/>
    <n v="116759"/>
    <x v="46"/>
    <x v="2"/>
  </r>
  <r>
    <x v="16"/>
    <n v="91324"/>
    <x v="48"/>
    <x v="2"/>
  </r>
  <r>
    <x v="17"/>
    <n v="64157"/>
    <x v="45"/>
    <x v="2"/>
  </r>
  <r>
    <x v="18"/>
    <n v="35146"/>
    <x v="47"/>
    <x v="2"/>
  </r>
  <r>
    <x v="0"/>
    <n v="726554"/>
    <x v="49"/>
    <x v="3"/>
  </r>
  <r>
    <x v="1"/>
    <n v="723623"/>
    <x v="50"/>
    <x v="3"/>
  </r>
  <r>
    <x v="2"/>
    <n v="708700"/>
    <x v="51"/>
    <x v="3"/>
  </r>
  <r>
    <x v="3"/>
    <n v="680971"/>
    <x v="52"/>
    <x v="3"/>
  </r>
  <r>
    <x v="4"/>
    <n v="657106"/>
    <x v="53"/>
    <x v="3"/>
  </r>
  <r>
    <x v="5"/>
    <n v="630933"/>
    <x v="54"/>
    <x v="3"/>
  </r>
  <r>
    <x v="6"/>
    <n v="602980"/>
    <x v="53"/>
    <x v="3"/>
  </r>
  <r>
    <x v="7"/>
    <n v="573126"/>
    <x v="55"/>
    <x v="3"/>
  </r>
  <r>
    <x v="8"/>
    <n v="541245"/>
    <x v="54"/>
    <x v="3"/>
  </r>
  <r>
    <x v="9"/>
    <n v="507194"/>
    <x v="54"/>
    <x v="3"/>
  </r>
  <r>
    <x v="10"/>
    <n v="470826"/>
    <x v="55"/>
    <x v="3"/>
  </r>
  <r>
    <x v="11"/>
    <n v="431988"/>
    <x v="54"/>
    <x v="3"/>
  </r>
  <r>
    <x v="12"/>
    <n v="390506"/>
    <x v="53"/>
    <x v="3"/>
  </r>
  <r>
    <x v="13"/>
    <n v="346205"/>
    <x v="53"/>
    <x v="3"/>
  </r>
  <r>
    <x v="14"/>
    <n v="298890"/>
    <x v="55"/>
    <x v="3"/>
  </r>
  <r>
    <x v="15"/>
    <n v="248359"/>
    <x v="55"/>
    <x v="3"/>
  </r>
  <r>
    <x v="16"/>
    <n v="194393"/>
    <x v="55"/>
    <x v="3"/>
  </r>
  <r>
    <x v="17"/>
    <n v="136756"/>
    <x v="53"/>
    <x v="3"/>
  </r>
  <r>
    <x v="18"/>
    <n v="75200"/>
    <x v="53"/>
    <x v="3"/>
  </r>
  <r>
    <x v="19"/>
    <n v="9457"/>
    <x v="56"/>
    <x v="3"/>
  </r>
  <r>
    <x v="0"/>
    <n v="481675"/>
    <x v="57"/>
    <x v="4"/>
  </r>
  <r>
    <x v="1"/>
    <n v="489528"/>
    <x v="58"/>
    <x v="4"/>
  </r>
  <r>
    <x v="2"/>
    <n v="489667"/>
    <x v="59"/>
    <x v="4"/>
  </r>
  <r>
    <x v="3"/>
    <n v="481568"/>
    <x v="60"/>
    <x v="4"/>
  </r>
  <r>
    <x v="4"/>
    <n v="464672"/>
    <x v="61"/>
    <x v="4"/>
  </r>
  <r>
    <x v="5"/>
    <n v="446174"/>
    <x v="62"/>
    <x v="4"/>
  </r>
  <r>
    <x v="6"/>
    <n v="426420"/>
    <x v="62"/>
    <x v="4"/>
  </r>
  <r>
    <x v="7"/>
    <n v="405323"/>
    <x v="61"/>
    <x v="4"/>
  </r>
  <r>
    <x v="8"/>
    <n v="382790"/>
    <x v="62"/>
    <x v="4"/>
  </r>
  <r>
    <x v="9"/>
    <n v="358727"/>
    <x v="61"/>
    <x v="4"/>
  </r>
  <r>
    <x v="10"/>
    <n v="333026"/>
    <x v="61"/>
    <x v="4"/>
  </r>
  <r>
    <x v="11"/>
    <n v="305577"/>
    <x v="61"/>
    <x v="4"/>
  </r>
  <r>
    <x v="12"/>
    <n v="276261"/>
    <x v="63"/>
    <x v="4"/>
  </r>
  <r>
    <x v="13"/>
    <n v="244951"/>
    <x v="61"/>
    <x v="4"/>
  </r>
  <r>
    <x v="14"/>
    <n v="211512"/>
    <x v="62"/>
    <x v="4"/>
  </r>
  <r>
    <x v="15"/>
    <n v="175802"/>
    <x v="63"/>
    <x v="4"/>
  </r>
  <r>
    <x v="16"/>
    <n v="137660"/>
    <x v="62"/>
    <x v="4"/>
  </r>
  <r>
    <x v="17"/>
    <n v="96927"/>
    <x v="62"/>
    <x v="4"/>
  </r>
  <r>
    <x v="18"/>
    <n v="53425"/>
    <x v="63"/>
    <x v="4"/>
  </r>
  <r>
    <x v="19"/>
    <n v="6962"/>
    <x v="64"/>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x v="0"/>
    <n v="61500802"/>
    <n v="5496179"/>
    <x v="0"/>
  </r>
  <r>
    <x v="1"/>
    <n v="60002882"/>
    <n v="5838815"/>
    <x v="0"/>
  </r>
  <r>
    <x v="2"/>
    <n v="58049007"/>
    <n v="6127277"/>
    <x v="0"/>
  </r>
  <r>
    <x v="3"/>
    <n v="55664161"/>
    <n v="6701368"/>
    <x v="0"/>
  </r>
  <r>
    <x v="4"/>
    <n v="52523858"/>
    <n v="6857769"/>
    <x v="0"/>
  </r>
  <r>
    <x v="5"/>
    <n v="49008381"/>
    <n v="7000141"/>
    <x v="0"/>
  </r>
  <r>
    <x v="6"/>
    <n v="45106718"/>
    <n v="7146499"/>
    <x v="0"/>
  </r>
  <r>
    <x v="7"/>
    <n v="40788491"/>
    <n v="7117124"/>
    <x v="0"/>
  </r>
  <r>
    <x v="8"/>
    <n v="36206981"/>
    <n v="7081893"/>
    <x v="0"/>
  </r>
  <r>
    <x v="9"/>
    <n v="31350339"/>
    <n v="6976205"/>
    <x v="0"/>
  </r>
  <r>
    <x v="10"/>
    <n v="26272665"/>
    <n v="5728517"/>
    <x v="0"/>
  </r>
  <r>
    <x v="11"/>
    <n v="22139120"/>
    <n v="5325122"/>
    <x v="0"/>
  </r>
  <r>
    <x v="12"/>
    <n v="18141382"/>
    <n v="3714932"/>
    <x v="0"/>
  </r>
  <r>
    <x v="13"/>
    <n v="15535836"/>
    <n v="3438206"/>
    <x v="0"/>
  </r>
  <r>
    <x v="14"/>
    <n v="13039093"/>
    <n v="3218279"/>
    <x v="0"/>
  </r>
  <r>
    <x v="15"/>
    <n v="10599853"/>
    <n v="3081453"/>
    <x v="0"/>
  </r>
  <r>
    <x v="16"/>
    <n v="8136144"/>
    <n v="2678295"/>
    <x v="0"/>
  </r>
  <r>
    <x v="17"/>
    <n v="5921542"/>
    <n v="2276413"/>
    <x v="0"/>
  </r>
  <r>
    <x v="18"/>
    <n v="3971670"/>
    <n v="3435801"/>
    <x v="0"/>
  </r>
  <r>
    <x v="19"/>
    <n v="691044"/>
    <n v="699755"/>
    <x v="0"/>
  </r>
  <r>
    <x v="20"/>
    <n v="14881"/>
    <n v="15379"/>
    <x v="0"/>
  </r>
  <r>
    <x v="0"/>
    <n v="24585563"/>
    <n v="2430053"/>
    <x v="1"/>
  </r>
  <r>
    <x v="1"/>
    <n v="23746065"/>
    <n v="2572192"/>
    <x v="1"/>
  </r>
  <r>
    <x v="2"/>
    <n v="22702590"/>
    <n v="2691885"/>
    <x v="1"/>
  </r>
  <r>
    <x v="3"/>
    <n v="21464462"/>
    <n v="2928664"/>
    <x v="1"/>
  </r>
  <r>
    <x v="4"/>
    <n v="19897442"/>
    <n v="2998492"/>
    <x v="1"/>
  </r>
  <r>
    <x v="5"/>
    <n v="18151704"/>
    <n v="3062914"/>
    <x v="1"/>
  </r>
  <r>
    <x v="6"/>
    <n v="16220680"/>
    <n v="2588662"/>
    <x v="1"/>
  </r>
  <r>
    <x v="7"/>
    <n v="14648455"/>
    <n v="2572006"/>
    <x v="1"/>
  </r>
  <r>
    <x v="8"/>
    <n v="12986535"/>
    <n v="2552934"/>
    <x v="1"/>
  </r>
  <r>
    <x v="9"/>
    <n v="11231314"/>
    <n v="2505213"/>
    <x v="1"/>
  </r>
  <r>
    <x v="10"/>
    <n v="9406054"/>
    <n v="2321639"/>
    <x v="1"/>
  </r>
  <r>
    <x v="11"/>
    <n v="7646390"/>
    <n v="1478800"/>
    <x v="1"/>
  </r>
  <r>
    <x v="12"/>
    <n v="6638092"/>
    <n v="1373728"/>
    <x v="1"/>
  </r>
  <r>
    <x v="13"/>
    <n v="5669815"/>
    <n v="1262153"/>
    <x v="1"/>
  </r>
  <r>
    <x v="14"/>
    <n v="4751003"/>
    <n v="1173784"/>
    <x v="1"/>
  </r>
  <r>
    <x v="15"/>
    <n v="3861036"/>
    <n v="1114930"/>
    <x v="1"/>
  </r>
  <r>
    <x v="16"/>
    <n v="2971373"/>
    <n v="966732"/>
    <x v="1"/>
  </r>
  <r>
    <x v="17"/>
    <n v="2174366"/>
    <n v="811646"/>
    <x v="1"/>
  </r>
  <r>
    <x v="18"/>
    <n v="1483433"/>
    <n v="1324722"/>
    <x v="1"/>
  </r>
  <r>
    <x v="19"/>
    <n v="215283"/>
    <n v="222482"/>
    <x v="1"/>
  </r>
  <r>
    <x v="0"/>
    <n v="338865"/>
    <n v="22609"/>
    <x v="2"/>
  </r>
  <r>
    <x v="1"/>
    <n v="338542"/>
    <n v="28021"/>
    <x v="2"/>
  </r>
  <r>
    <x v="2"/>
    <n v="332604"/>
    <n v="33435"/>
    <x v="2"/>
  </r>
  <r>
    <x v="3"/>
    <n v="320667"/>
    <n v="32004"/>
    <x v="2"/>
  </r>
  <r>
    <x v="4"/>
    <n v="309398"/>
    <n v="32293"/>
    <x v="2"/>
  </r>
  <r>
    <x v="5"/>
    <n v="297065"/>
    <n v="32294"/>
    <x v="2"/>
  </r>
  <r>
    <x v="6"/>
    <n v="283891"/>
    <n v="32294"/>
    <x v="2"/>
  </r>
  <r>
    <x v="7"/>
    <n v="269821"/>
    <n v="32294"/>
    <x v="2"/>
  </r>
  <r>
    <x v="8"/>
    <n v="254796"/>
    <n v="32295"/>
    <x v="2"/>
  </r>
  <r>
    <x v="9"/>
    <n v="238746"/>
    <n v="32293"/>
    <x v="2"/>
  </r>
  <r>
    <x v="10"/>
    <n v="221607"/>
    <n v="32293"/>
    <x v="2"/>
  </r>
  <r>
    <x v="11"/>
    <n v="203304"/>
    <n v="32295"/>
    <x v="2"/>
  </r>
  <r>
    <x v="12"/>
    <n v="183754"/>
    <n v="32295"/>
    <x v="2"/>
  </r>
  <r>
    <x v="13"/>
    <n v="162875"/>
    <n v="32295"/>
    <x v="2"/>
  </r>
  <r>
    <x v="14"/>
    <n v="140575"/>
    <n v="32295"/>
    <x v="2"/>
  </r>
  <r>
    <x v="15"/>
    <n v="116759"/>
    <n v="32294"/>
    <x v="2"/>
  </r>
  <r>
    <x v="16"/>
    <n v="91324"/>
    <n v="32296"/>
    <x v="2"/>
  </r>
  <r>
    <x v="17"/>
    <n v="64157"/>
    <n v="32293"/>
    <x v="2"/>
  </r>
  <r>
    <x v="18"/>
    <n v="35146"/>
    <n v="32295"/>
    <x v="2"/>
  </r>
  <r>
    <x v="19"/>
    <n v="4161"/>
    <n v="4300"/>
    <x v="2"/>
  </r>
  <r>
    <x v="0"/>
    <n v="726554"/>
    <n v="50642"/>
    <x v="3"/>
  </r>
  <r>
    <x v="1"/>
    <n v="723623"/>
    <n v="62054"/>
    <x v="3"/>
  </r>
  <r>
    <x v="2"/>
    <n v="708700"/>
    <n v="73465"/>
    <x v="3"/>
  </r>
  <r>
    <x v="3"/>
    <n v="680971"/>
    <n v="67901"/>
    <x v="3"/>
  </r>
  <r>
    <x v="4"/>
    <n v="657106"/>
    <n v="68563"/>
    <x v="3"/>
  </r>
  <r>
    <x v="5"/>
    <n v="630933"/>
    <n v="68564"/>
    <x v="3"/>
  </r>
  <r>
    <x v="6"/>
    <n v="602980"/>
    <n v="68563"/>
    <x v="3"/>
  </r>
  <r>
    <x v="7"/>
    <n v="573126"/>
    <n v="68562"/>
    <x v="3"/>
  </r>
  <r>
    <x v="8"/>
    <n v="541245"/>
    <n v="68564"/>
    <x v="3"/>
  </r>
  <r>
    <x v="9"/>
    <n v="507194"/>
    <n v="68564"/>
    <x v="3"/>
  </r>
  <r>
    <x v="10"/>
    <n v="470826"/>
    <n v="68562"/>
    <x v="3"/>
  </r>
  <r>
    <x v="11"/>
    <n v="431988"/>
    <n v="68564"/>
    <x v="3"/>
  </r>
  <r>
    <x v="12"/>
    <n v="390506"/>
    <n v="68563"/>
    <x v="3"/>
  </r>
  <r>
    <x v="13"/>
    <n v="346205"/>
    <n v="68563"/>
    <x v="3"/>
  </r>
  <r>
    <x v="14"/>
    <n v="298890"/>
    <n v="68562"/>
    <x v="3"/>
  </r>
  <r>
    <x v="15"/>
    <n v="248359"/>
    <n v="68562"/>
    <x v="3"/>
  </r>
  <r>
    <x v="16"/>
    <n v="194393"/>
    <n v="68562"/>
    <x v="3"/>
  </r>
  <r>
    <x v="17"/>
    <n v="136756"/>
    <n v="68563"/>
    <x v="3"/>
  </r>
  <r>
    <x v="18"/>
    <n v="75200"/>
    <n v="68563"/>
    <x v="3"/>
  </r>
  <r>
    <x v="19"/>
    <n v="9457"/>
    <n v="9773"/>
    <x v="3"/>
  </r>
  <r>
    <x v="0"/>
    <n v="481675"/>
    <n v="24095"/>
    <x v="4"/>
  </r>
  <r>
    <x v="1"/>
    <n v="489528"/>
    <n v="32076"/>
    <x v="4"/>
  </r>
  <r>
    <x v="2"/>
    <n v="489667"/>
    <n v="40057"/>
    <x v="4"/>
  </r>
  <r>
    <x v="3"/>
    <n v="481568"/>
    <n v="48037"/>
    <x v="4"/>
  </r>
  <r>
    <x v="4"/>
    <n v="464672"/>
    <n v="48474"/>
    <x v="4"/>
  </r>
  <r>
    <x v="5"/>
    <n v="446174"/>
    <n v="48473"/>
    <x v="4"/>
  </r>
  <r>
    <x v="6"/>
    <n v="426420"/>
    <n v="48473"/>
    <x v="4"/>
  </r>
  <r>
    <x v="7"/>
    <n v="405323"/>
    <n v="48474"/>
    <x v="4"/>
  </r>
  <r>
    <x v="8"/>
    <n v="382790"/>
    <n v="48473"/>
    <x v="4"/>
  </r>
  <r>
    <x v="9"/>
    <n v="358727"/>
    <n v="48474"/>
    <x v="4"/>
  </r>
  <r>
    <x v="10"/>
    <n v="333026"/>
    <n v="48474"/>
    <x v="4"/>
  </r>
  <r>
    <x v="11"/>
    <n v="305577"/>
    <n v="48474"/>
    <x v="4"/>
  </r>
  <r>
    <x v="12"/>
    <n v="276261"/>
    <n v="48475"/>
    <x v="4"/>
  </r>
  <r>
    <x v="13"/>
    <n v="244951"/>
    <n v="48474"/>
    <x v="4"/>
  </r>
  <r>
    <x v="14"/>
    <n v="211512"/>
    <n v="48473"/>
    <x v="4"/>
  </r>
  <r>
    <x v="15"/>
    <n v="175802"/>
    <n v="48475"/>
    <x v="4"/>
  </r>
  <r>
    <x v="16"/>
    <n v="137660"/>
    <n v="48473"/>
    <x v="4"/>
  </r>
  <r>
    <x v="17"/>
    <n v="96927"/>
    <n v="48473"/>
    <x v="4"/>
  </r>
  <r>
    <x v="18"/>
    <n v="53425"/>
    <n v="48475"/>
    <x v="4"/>
  </r>
  <r>
    <x v="19"/>
    <n v="6962"/>
    <n v="7195"/>
    <x v="4"/>
  </r>
  <r>
    <x v="0"/>
    <n v="87633459"/>
    <n v="8023578"/>
    <x v="5"/>
  </r>
  <r>
    <x v="1"/>
    <n v="85300640"/>
    <n v="8533158"/>
    <x v="5"/>
  </r>
  <r>
    <x v="2"/>
    <n v="82282568"/>
    <n v="8966119"/>
    <x v="5"/>
  </r>
  <r>
    <x v="3"/>
    <n v="78611829"/>
    <n v="9777974"/>
    <x v="5"/>
  </r>
  <r>
    <x v="4"/>
    <n v="73852476"/>
    <n v="10005591"/>
    <x v="5"/>
  </r>
  <r>
    <x v="5"/>
    <n v="68534257"/>
    <n v="10212386"/>
    <x v="5"/>
  </r>
  <r>
    <x v="6"/>
    <n v="62640689"/>
    <n v="9884491"/>
    <x v="5"/>
  </r>
  <r>
    <x v="7"/>
    <n v="56685216"/>
    <n v="9838460"/>
    <x v="5"/>
  </r>
  <r>
    <x v="8"/>
    <n v="50372347"/>
    <n v="9784159"/>
    <x v="5"/>
  </r>
  <r>
    <x v="9"/>
    <n v="43686320"/>
    <n v="9630749"/>
    <x v="5"/>
  </r>
  <r>
    <x v="10"/>
    <n v="36704178"/>
    <n v="8199485"/>
    <x v="5"/>
  </r>
  <r>
    <x v="11"/>
    <n v="30726379"/>
    <n v="6953255"/>
    <x v="5"/>
  </r>
  <r>
    <x v="12"/>
    <n v="25629995"/>
    <n v="5237993"/>
    <x v="5"/>
  </r>
  <r>
    <x v="13"/>
    <n v="21959682"/>
    <n v="4849691"/>
    <x v="5"/>
  </r>
  <r>
    <x v="14"/>
    <n v="18441073"/>
    <n v="4541393"/>
    <x v="5"/>
  </r>
  <r>
    <x v="15"/>
    <n v="15001809"/>
    <n v="4345714"/>
    <x v="5"/>
  </r>
  <r>
    <x v="16"/>
    <n v="11530894"/>
    <n v="3794358"/>
    <x v="5"/>
  </r>
  <r>
    <x v="17"/>
    <n v="8393748"/>
    <n v="3237388"/>
    <x v="5"/>
  </r>
  <r>
    <x v="18"/>
    <n v="5618874"/>
    <n v="4909856"/>
    <x v="5"/>
  </r>
  <r>
    <x v="19"/>
    <n v="926907"/>
    <n v="943505"/>
    <x v="5"/>
  </r>
  <r>
    <x v="20"/>
    <n v="14881"/>
    <n v="15379"/>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n v="5496179"/>
    <x v="0"/>
  </r>
  <r>
    <x v="1"/>
    <n v="5839000"/>
    <x v="0"/>
  </r>
  <r>
    <x v="2"/>
    <n v="6127000"/>
    <x v="0"/>
  </r>
  <r>
    <x v="3"/>
    <n v="6701000"/>
    <x v="0"/>
  </r>
  <r>
    <x v="4"/>
    <n v="6858000"/>
    <x v="0"/>
  </r>
  <r>
    <x v="5"/>
    <n v="7000000"/>
    <x v="0"/>
  </r>
  <r>
    <x v="0"/>
    <n v="2430053"/>
    <x v="1"/>
  </r>
  <r>
    <x v="1"/>
    <n v="2572000"/>
    <x v="1"/>
  </r>
  <r>
    <x v="2"/>
    <n v="2692000"/>
    <x v="1"/>
  </r>
  <r>
    <x v="3"/>
    <n v="2929000"/>
    <x v="1"/>
  </r>
  <r>
    <x v="4"/>
    <n v="2998000"/>
    <x v="1"/>
  </r>
  <r>
    <x v="5"/>
    <n v="3063000"/>
    <x v="1"/>
  </r>
  <r>
    <x v="0"/>
    <n v="22609"/>
    <x v="2"/>
  </r>
  <r>
    <x v="1"/>
    <n v="28000"/>
    <x v="2"/>
  </r>
  <r>
    <x v="2"/>
    <n v="33000"/>
    <x v="2"/>
  </r>
  <r>
    <x v="3"/>
    <n v="32000"/>
    <x v="2"/>
  </r>
  <r>
    <x v="4"/>
    <n v="32000"/>
    <x v="2"/>
  </r>
  <r>
    <x v="5"/>
    <n v="32000"/>
    <x v="2"/>
  </r>
  <r>
    <x v="0"/>
    <n v="50642"/>
    <x v="3"/>
  </r>
  <r>
    <x v="1"/>
    <n v="62000"/>
    <x v="3"/>
  </r>
  <r>
    <x v="2"/>
    <n v="73000"/>
    <x v="3"/>
  </r>
  <r>
    <x v="3"/>
    <n v="68000"/>
    <x v="3"/>
  </r>
  <r>
    <x v="4"/>
    <n v="69000"/>
    <x v="3"/>
  </r>
  <r>
    <x v="5"/>
    <n v="69000"/>
    <x v="3"/>
  </r>
  <r>
    <x v="0"/>
    <n v="24095"/>
    <x v="4"/>
  </r>
  <r>
    <x v="1"/>
    <n v="32000"/>
    <x v="4"/>
  </r>
  <r>
    <x v="2"/>
    <n v="40000"/>
    <x v="4"/>
  </r>
  <r>
    <x v="3"/>
    <n v="48000"/>
    <x v="4"/>
  </r>
  <r>
    <x v="4"/>
    <n v="48000"/>
    <x v="4"/>
  </r>
  <r>
    <x v="5"/>
    <n v="48000"/>
    <x v="4"/>
  </r>
  <r>
    <x v="0"/>
    <n v="8023578"/>
    <x v="5"/>
  </r>
  <r>
    <x v="1"/>
    <n v="8533000"/>
    <x v="5"/>
  </r>
  <r>
    <x v="2"/>
    <n v="8965000"/>
    <x v="5"/>
  </r>
  <r>
    <x v="3"/>
    <n v="9778000"/>
    <x v="5"/>
  </r>
  <r>
    <x v="4"/>
    <n v="10005000"/>
    <x v="5"/>
  </r>
  <r>
    <x v="5"/>
    <n v="10212000"/>
    <x v="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d v="2014-06-30T00:00:00"/>
    <x v="0"/>
    <n v="0.19536000000000001"/>
    <n v="1792383"/>
    <x v="0"/>
  </r>
  <r>
    <d v="2015-06-30T00:00:00"/>
    <x v="1"/>
    <n v="0.19722999999999999"/>
    <n v="2092601"/>
    <x v="0"/>
  </r>
  <r>
    <d v="2016-06-30T00:00:00"/>
    <x v="2"/>
    <n v="0.20555999999999999"/>
    <n v="2498404"/>
    <x v="0"/>
  </r>
  <r>
    <d v="2017-06-30T00:00:00"/>
    <x v="3"/>
    <n v="0.21926999999999999"/>
    <n v="2955657"/>
    <x v="0"/>
  </r>
  <r>
    <d v="2018-06-30T00:00:00"/>
    <x v="4"/>
    <n v="0.23674000000000001"/>
    <n v="3306700"/>
    <x v="0"/>
  </r>
  <r>
    <d v="2019-06-30T00:00:00"/>
    <x v="5"/>
    <n v="0.23710000000000001"/>
    <n v="3789412"/>
    <x v="0"/>
  </r>
  <r>
    <d v="2020-06-30T00:00:00"/>
    <x v="6"/>
    <n v="0.23749999999999999"/>
    <n v="4253080"/>
    <x v="0"/>
  </r>
  <r>
    <d v="2021-06-30T00:00:00"/>
    <x v="7"/>
    <n v="0.27110000000000001"/>
    <n v="4222686"/>
    <x v="0"/>
  </r>
  <r>
    <d v="2022-06-30T00:00:00"/>
    <x v="8"/>
    <n v="0.2732"/>
    <n v="4912212"/>
    <x v="0"/>
  </r>
  <r>
    <d v="2023-06-30T00:00:00"/>
    <x v="9"/>
    <n v="0.27379999999999999"/>
    <n v="5496179"/>
    <x v="0"/>
  </r>
  <r>
    <d v="2014-06-30T00:00:00"/>
    <x v="0"/>
    <n v="0.11634"/>
    <n v="960574"/>
    <x v="1"/>
  </r>
  <r>
    <d v="2015-06-30T00:00:00"/>
    <x v="1"/>
    <n v="0.11675000000000001"/>
    <n v="1075481"/>
    <x v="1"/>
  </r>
  <r>
    <d v="2016-06-30T00:00:00"/>
    <x v="2"/>
    <n v="0.12212000000000001"/>
    <n v="1231229"/>
    <x v="1"/>
  </r>
  <r>
    <d v="2017-06-30T00:00:00"/>
    <x v="3"/>
    <n v="0.13181999999999999"/>
    <n v="1404112"/>
    <x v="1"/>
  </r>
  <r>
    <d v="2018-06-30T00:00:00"/>
    <x v="4"/>
    <n v="0.14194000000000001"/>
    <n v="1542149"/>
    <x v="1"/>
  </r>
  <r>
    <d v="2019-06-30T00:00:00"/>
    <x v="5"/>
    <n v="0.14019999999999999"/>
    <n v="1734419"/>
    <x v="1"/>
  </r>
  <r>
    <d v="2020-06-30T00:00:00"/>
    <x v="6"/>
    <n v="0.14030000000000001"/>
    <n v="1926454"/>
    <x v="1"/>
  </r>
  <r>
    <d v="2021-06-30T00:00:00"/>
    <x v="7"/>
    <n v="0.1595"/>
    <n v="1896880"/>
    <x v="1"/>
  </r>
  <r>
    <d v="2022-06-30T00:00:00"/>
    <x v="8"/>
    <n v="0.16020000000000001"/>
    <n v="2173814"/>
    <x v="1"/>
  </r>
  <r>
    <d v="2023-06-30T00:00:00"/>
    <x v="9"/>
    <n v="0.16089999999999999"/>
    <n v="2430053"/>
    <x v="1"/>
  </r>
  <r>
    <d v="2014-06-30T00:00:00"/>
    <x v="0"/>
    <n v="0.12082"/>
    <n v="501"/>
    <x v="2"/>
  </r>
  <r>
    <d v="2015-06-30T00:00:00"/>
    <x v="1"/>
    <n v="0.11990000000000001"/>
    <n v="1057"/>
    <x v="2"/>
  </r>
  <r>
    <d v="2016-06-30T00:00:00"/>
    <x v="2"/>
    <n v="0.12141"/>
    <n v="1282"/>
    <x v="2"/>
  </r>
  <r>
    <d v="2017-06-30T00:00:00"/>
    <x v="3"/>
    <n v="0.13034000000000001"/>
    <n v="1813"/>
    <x v="2"/>
  </r>
  <r>
    <d v="2018-06-30T00:00:00"/>
    <x v="4"/>
    <n v="0.13044"/>
    <n v="2967"/>
    <x v="2"/>
  </r>
  <r>
    <d v="2019-06-30T00:00:00"/>
    <x v="5"/>
    <n v="0.1313"/>
    <n v="4677"/>
    <x v="2"/>
  </r>
  <r>
    <d v="2020-06-30T00:00:00"/>
    <x v="6"/>
    <n v="0.1278"/>
    <n v="5282"/>
    <x v="2"/>
  </r>
  <r>
    <d v="2021-06-30T00:00:00"/>
    <x v="7"/>
    <n v="0.13539999999999999"/>
    <n v="6845"/>
    <x v="2"/>
  </r>
  <r>
    <d v="2022-06-30T00:00:00"/>
    <x v="8"/>
    <n v="0.1376"/>
    <n v="14343"/>
    <x v="2"/>
  </r>
  <r>
    <d v="2023-06-30T00:00:00"/>
    <x v="9"/>
    <n v="0.1399"/>
    <n v="22609"/>
    <x v="2"/>
  </r>
  <r>
    <d v="2014-06-30T00:00:00"/>
    <x v="0"/>
    <n v="0.12082"/>
    <n v="0"/>
    <x v="3"/>
  </r>
  <r>
    <d v="2015-06-30T00:00:00"/>
    <x v="1"/>
    <n v="0.11990000000000001"/>
    <n v="60"/>
    <x v="3"/>
  </r>
  <r>
    <d v="2016-06-30T00:00:00"/>
    <x v="2"/>
    <n v="0.12141"/>
    <n v="1212"/>
    <x v="3"/>
  </r>
  <r>
    <d v="2017-06-30T00:00:00"/>
    <x v="3"/>
    <n v="0.13034000000000001"/>
    <n v="3276"/>
    <x v="3"/>
  </r>
  <r>
    <d v="2018-06-30T00:00:00"/>
    <x v="4"/>
    <n v="0.13044"/>
    <n v="7125"/>
    <x v="3"/>
  </r>
  <r>
    <d v="2019-06-30T00:00:00"/>
    <x v="5"/>
    <n v="0.1313"/>
    <n v="12105"/>
    <x v="3"/>
  </r>
  <r>
    <d v="2020-06-30T00:00:00"/>
    <x v="6"/>
    <n v="0.1278"/>
    <n v="18246"/>
    <x v="3"/>
  </r>
  <r>
    <d v="2021-06-30T00:00:00"/>
    <x v="7"/>
    <n v="0.13539999999999999"/>
    <n v="16978"/>
    <x v="3"/>
  </r>
  <r>
    <d v="2022-06-30T00:00:00"/>
    <x v="8"/>
    <n v="0.1376"/>
    <n v="32768"/>
    <x v="3"/>
  </r>
  <r>
    <d v="2023-06-30T00:00:00"/>
    <x v="9"/>
    <n v="0.1399"/>
    <n v="50642"/>
    <x v="3"/>
  </r>
  <r>
    <d v="2014-06-30T00:00:00"/>
    <x v="0"/>
    <n v="6.5549999999999997E-2"/>
    <n v="105"/>
    <x v="4"/>
  </r>
  <r>
    <d v="2015-06-30T00:00:00"/>
    <x v="1"/>
    <n v="6.5329999999999999E-2"/>
    <n v="1306"/>
    <x v="4"/>
  </r>
  <r>
    <d v="2016-06-30T00:00:00"/>
    <x v="2"/>
    <n v="6.8419999999999995E-2"/>
    <n v="1846"/>
    <x v="4"/>
  </r>
  <r>
    <d v="2017-06-30T00:00:00"/>
    <x v="3"/>
    <n v="6.9849999999999995E-2"/>
    <n v="2729"/>
    <x v="4"/>
  </r>
  <r>
    <d v="2018-06-30T00:00:00"/>
    <x v="4"/>
    <n v="7.732E-2"/>
    <n v="4523"/>
    <x v="4"/>
  </r>
  <r>
    <d v="2019-06-30T00:00:00"/>
    <x v="5"/>
    <n v="7.5899999999999995E-2"/>
    <n v="6971"/>
    <x v="4"/>
  </r>
  <r>
    <d v="2020-06-30T00:00:00"/>
    <x v="6"/>
    <n v="7.4700000000000003E-2"/>
    <n v="8869"/>
    <x v="4"/>
  </r>
  <r>
    <d v="2021-06-30T00:00:00"/>
    <x v="7"/>
    <n v="7.6799999999999993E-2"/>
    <n v="0"/>
    <x v="4"/>
  </r>
  <r>
    <d v="2022-06-30T00:00:00"/>
    <x v="8"/>
    <n v="7.8700000000000006E-2"/>
    <n v="11099"/>
    <x v="4"/>
  </r>
  <r>
    <d v="2023-06-30T00:00:00"/>
    <x v="9"/>
    <n v="7.9600000000000004E-2"/>
    <n v="24095"/>
    <x v="4"/>
  </r>
  <r>
    <d v="2014-06-30T00:00:00"/>
    <x v="0"/>
    <m/>
    <n v="2753563"/>
    <x v="5"/>
  </r>
  <r>
    <d v="2015-06-30T00:00:00"/>
    <x v="1"/>
    <m/>
    <n v="3170505"/>
    <x v="5"/>
  </r>
  <r>
    <d v="2016-06-30T00:00:00"/>
    <x v="2"/>
    <m/>
    <n v="3733973"/>
    <x v="5"/>
  </r>
  <r>
    <d v="2017-06-30T00:00:00"/>
    <x v="3"/>
    <m/>
    <n v="4367587"/>
    <x v="5"/>
  </r>
  <r>
    <d v="2018-06-30T00:00:00"/>
    <x v="4"/>
    <m/>
    <n v="4863464"/>
    <x v="5"/>
  </r>
  <r>
    <d v="2019-06-30T00:00:00"/>
    <x v="5"/>
    <m/>
    <n v="5547584"/>
    <x v="5"/>
  </r>
  <r>
    <d v="2020-06-30T00:00:00"/>
    <x v="6"/>
    <m/>
    <n v="6211931"/>
    <x v="5"/>
  </r>
  <r>
    <d v="2021-06-30T00:00:00"/>
    <x v="7"/>
    <m/>
    <n v="6143389"/>
    <x v="5"/>
  </r>
  <r>
    <d v="2022-06-30T00:00:00"/>
    <x v="8"/>
    <m/>
    <n v="7144236"/>
    <x v="5"/>
  </r>
  <r>
    <d v="2023-06-30T00:00:00"/>
    <x v="9"/>
    <m/>
    <n v="8023578"/>
    <x v="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d v="2014-06-30T00:00:00"/>
    <x v="0"/>
    <n v="111959814"/>
    <n v="83778367"/>
    <n v="28181447"/>
    <n v="0.748"/>
    <n v="7916094"/>
    <x v="0"/>
  </r>
  <r>
    <d v="2015-06-30T00:00:00"/>
    <x v="1"/>
    <n v="115010168"/>
    <n v="81703497"/>
    <n v="33306671"/>
    <n v="0.71"/>
    <n v="7504349"/>
    <x v="0"/>
  </r>
  <r>
    <d v="2016-06-30T00:00:00"/>
    <x v="2"/>
    <n v="121203599"/>
    <n v="80358400"/>
    <n v="40845199"/>
    <n v="0.66300000000000003"/>
    <n v="7254709"/>
    <x v="0"/>
  </r>
  <r>
    <d v="2017-06-30T00:00:00"/>
    <x v="3"/>
    <n v="128583157"/>
    <n v="86999870"/>
    <n v="41583287"/>
    <n v="0.67700000000000005"/>
    <n v="7158298"/>
    <x v="0"/>
  </r>
  <r>
    <d v="2018-06-30T00:00:00"/>
    <x v="4"/>
    <n v="138612535"/>
    <n v="91780070"/>
    <n v="46832465"/>
    <n v="0.66200000000000003"/>
    <n v="7353844"/>
    <x v="0"/>
  </r>
  <r>
    <d v="2019-06-30T00:00:00"/>
    <x v="5"/>
    <n v="146218995"/>
    <n v="97388993"/>
    <n v="48830002"/>
    <n v="0.66600000000000004"/>
    <n v="6956438"/>
    <x v="0"/>
  </r>
  <r>
    <d v="2020-06-30T00:00:00"/>
    <x v="6"/>
    <n v="151566930"/>
    <n v="99468323"/>
    <n v="52098607"/>
    <n v="0.65600000000000003"/>
    <n v="6926350"/>
    <x v="0"/>
  </r>
  <r>
    <d v="2021-06-30T00:00:00"/>
    <x v="7"/>
    <n v="161290875"/>
    <n v="120388390"/>
    <n v="40902485"/>
    <n v="0.746"/>
    <n v="6348470"/>
    <x v="0"/>
  </r>
  <r>
    <d v="2022-06-30T00:00:00"/>
    <x v="8"/>
    <n v="168023634"/>
    <n v="108398918"/>
    <n v="59624716"/>
    <n v="0.64500000000000002"/>
    <n v="5646026"/>
    <x v="0"/>
  </r>
  <r>
    <d v="2023-06-30T00:00:00"/>
    <x v="9"/>
    <n v="173318081"/>
    <n v="110862862"/>
    <n v="62455219"/>
    <n v="0.64"/>
    <n v="5618797"/>
    <x v="0"/>
  </r>
  <r>
    <d v="2014-06-30T00:00:00"/>
    <x v="0"/>
    <n v="46959878"/>
    <n v="33698514"/>
    <n v="13261364"/>
    <n v="0.71799999999999997"/>
    <n v="5046833"/>
    <x v="1"/>
  </r>
  <r>
    <d v="2015-06-30T00:00:00"/>
    <x v="1"/>
    <n v="47489811"/>
    <n v="32338793"/>
    <n v="15151018"/>
    <n v="0.68100000000000005"/>
    <n v="4590461"/>
    <x v="1"/>
  </r>
  <r>
    <d v="2016-06-30T00:00:00"/>
    <x v="2"/>
    <n v="49777692"/>
    <n v="31687182"/>
    <n v="18090510"/>
    <n v="0.63700000000000001"/>
    <n v="4863691"/>
    <x v="1"/>
  </r>
  <r>
    <d v="2017-06-30T00:00:00"/>
    <x v="3"/>
    <n v="52784582"/>
    <n v="34734477"/>
    <n v="18050105"/>
    <n v="0.65800000000000003"/>
    <n v="4872517"/>
    <x v="1"/>
  </r>
  <r>
    <d v="2018-06-30T00:00:00"/>
    <x v="4"/>
    <n v="57323516"/>
    <n v="37269868"/>
    <n v="20053648"/>
    <n v="0.65"/>
    <n v="4978297"/>
    <x v="1"/>
  </r>
  <r>
    <d v="2019-06-30T00:00:00"/>
    <x v="5"/>
    <n v="60510884"/>
    <n v="39820379"/>
    <n v="20690505"/>
    <n v="0.65800000000000003"/>
    <n v="5020297"/>
    <x v="1"/>
  </r>
  <r>
    <d v="2020-06-30T00:00:00"/>
    <x v="6"/>
    <n v="63353262"/>
    <n v="41449011"/>
    <n v="21904251"/>
    <n v="0.65400000000000003"/>
    <n v="5099164"/>
    <x v="1"/>
  </r>
  <r>
    <d v="2021-06-30T00:00:00"/>
    <x v="7"/>
    <n v="65705040"/>
    <n v="48704943"/>
    <n v="17000097"/>
    <n v="0.74099999999999999"/>
    <n v="4060139"/>
    <x v="1"/>
  </r>
  <r>
    <d v="2022-06-30T00:00:00"/>
    <x v="8"/>
    <n v="67921787"/>
    <n v="43660224"/>
    <n v="24261563"/>
    <n v="0.64300000000000002"/>
    <n v="3961911"/>
    <x v="1"/>
  </r>
  <r>
    <d v="2023-06-30T00:00:00"/>
    <x v="9"/>
    <n v="70083838"/>
    <n v="44724313"/>
    <n v="25359525"/>
    <n v="0.63800000000000001"/>
    <n v="3768714"/>
    <x v="1"/>
  </r>
  <r>
    <d v="2014-06-30T00:00:00"/>
    <x v="0"/>
    <n v="34081"/>
    <n v="35559"/>
    <n v="-1478"/>
    <n v="1.0429999999999999"/>
    <n v="177928"/>
    <x v="2"/>
  </r>
  <r>
    <d v="2015-06-30T00:00:00"/>
    <x v="1"/>
    <n v="47385"/>
    <n v="44669"/>
    <n v="2716"/>
    <n v="0.94299999999999995"/>
    <n v="100525"/>
    <x v="2"/>
  </r>
  <r>
    <d v="2016-06-30T00:00:00"/>
    <x v="2"/>
    <n v="101234"/>
    <n v="89312"/>
    <n v="11922"/>
    <n v="0.88200000000000001"/>
    <n v="232675"/>
    <x v="2"/>
  </r>
  <r>
    <d v="2017-06-30T00:00:00"/>
    <x v="3"/>
    <n v="220456"/>
    <n v="209018"/>
    <n v="11438"/>
    <n v="0.94799999999999995"/>
    <n v="550581"/>
    <x v="2"/>
  </r>
  <r>
    <d v="2018-06-30T00:00:00"/>
    <x v="4"/>
    <n v="389350"/>
    <n v="357340"/>
    <n v="32010"/>
    <n v="0.91800000000000004"/>
    <n v="686356"/>
    <x v="2"/>
  </r>
  <r>
    <d v="2019-06-30T00:00:00"/>
    <x v="5"/>
    <n v="546388"/>
    <n v="491118"/>
    <n v="55270"/>
    <n v="0.89900000000000002"/>
    <n v="874387"/>
    <x v="2"/>
  </r>
  <r>
    <d v="2020-06-30T00:00:00"/>
    <x v="6"/>
    <n v="747033"/>
    <n v="662140"/>
    <n v="84893"/>
    <n v="0.88600000000000001"/>
    <n v="953643"/>
    <x v="2"/>
  </r>
  <r>
    <d v="2021-06-30T00:00:00"/>
    <x v="7"/>
    <n v="1128938"/>
    <n v="1160902"/>
    <n v="-31964"/>
    <n v="1.028"/>
    <n v="1401205"/>
    <x v="2"/>
  </r>
  <r>
    <d v="2022-06-30T00:00:00"/>
    <x v="8"/>
    <n v="1554626"/>
    <n v="1325089"/>
    <n v="229537"/>
    <n v="0.85199999999999998"/>
    <n v="1543365"/>
    <x v="2"/>
  </r>
  <r>
    <d v="2023-06-30T00:00:00"/>
    <x v="9"/>
    <n v="2121022"/>
    <n v="1804317"/>
    <n v="316705"/>
    <n v="0.85099999999999998"/>
    <n v="1762530"/>
    <x v="2"/>
  </r>
  <r>
    <d v="2014-06-30T00:00:00"/>
    <x v="0"/>
    <n v="77935"/>
    <n v="86859"/>
    <n v="-8924"/>
    <n v="1.115"/>
    <n v="374425"/>
    <x v="3"/>
  </r>
  <r>
    <d v="2015-06-30T00:00:00"/>
    <x v="1"/>
    <n v="224314"/>
    <n v="218077"/>
    <n v="6237"/>
    <n v="0.97199999999999998"/>
    <n v="885722"/>
    <x v="3"/>
  </r>
  <r>
    <d v="2016-06-30T00:00:00"/>
    <x v="2"/>
    <n v="454618"/>
    <n v="411347"/>
    <n v="43271"/>
    <n v="0.90500000000000003"/>
    <n v="1189792"/>
    <x v="3"/>
  </r>
  <r>
    <d v="2017-06-30T00:00:00"/>
    <x v="3"/>
    <n v="789467"/>
    <n v="742844"/>
    <n v="46623"/>
    <n v="0.94099999999999995"/>
    <n v="1617401"/>
    <x v="3"/>
  </r>
  <r>
    <d v="2018-06-30T00:00:00"/>
    <x v="4"/>
    <n v="1250981"/>
    <n v="1132286"/>
    <n v="118695"/>
    <n v="0.90500000000000003"/>
    <n v="1755726"/>
    <x v="3"/>
  </r>
  <r>
    <d v="2019-06-30T00:00:00"/>
    <x v="5"/>
    <n v="1675612"/>
    <n v="1487307"/>
    <n v="188305"/>
    <n v="0.88800000000000001"/>
    <n v="2087105"/>
    <x v="3"/>
  </r>
  <r>
    <d v="2020-06-30T00:00:00"/>
    <x v="6"/>
    <n v="2171773"/>
    <n v="1897404"/>
    <n v="274369"/>
    <n v="0.874"/>
    <n v="2257715"/>
    <x v="3"/>
  </r>
  <r>
    <d v="2021-06-30T00:00:00"/>
    <x v="7"/>
    <n v="2864509"/>
    <n v="2873030"/>
    <n v="-8521"/>
    <n v="1.0029999999999999"/>
    <n v="2100091"/>
    <x v="3"/>
  </r>
  <r>
    <d v="2022-06-30T00:00:00"/>
    <x v="8"/>
    <n v="3299994"/>
    <n v="2779495"/>
    <n v="520499"/>
    <n v="0.84199999999999997"/>
    <n v="1875970"/>
    <x v="3"/>
  </r>
  <r>
    <d v="2023-06-30T00:00:00"/>
    <x v="9"/>
    <n v="4806489"/>
    <n v="4123392"/>
    <n v="683097"/>
    <n v="0.85799999999999998"/>
    <n v="2516820"/>
    <x v="3"/>
  </r>
  <r>
    <d v="2014-06-30T00:00:00"/>
    <x v="0"/>
    <n v="36372"/>
    <n v="39493"/>
    <n v="-3121"/>
    <n v="1.0860000000000001"/>
    <n v="379384"/>
    <x v="4"/>
  </r>
  <r>
    <d v="2015-06-30T00:00:00"/>
    <x v="1"/>
    <n v="94864"/>
    <n v="91611"/>
    <n v="3253"/>
    <n v="0.96599999999999997"/>
    <n v="760207"/>
    <x v="4"/>
  </r>
  <r>
    <d v="2016-06-30T00:00:00"/>
    <x v="2"/>
    <n v="228912"/>
    <n v="206800"/>
    <n v="22112"/>
    <n v="0.90300000000000002"/>
    <n v="1209913"/>
    <x v="4"/>
  </r>
  <r>
    <d v="2017-06-30T00:00:00"/>
    <x v="3"/>
    <n v="430332"/>
    <n v="408601"/>
    <n v="21731"/>
    <n v="0.95"/>
    <n v="1282271"/>
    <x v="4"/>
  </r>
  <r>
    <d v="2018-06-30T00:00:00"/>
    <x v="4"/>
    <n v="715573"/>
    <n v="658044"/>
    <n v="57529"/>
    <n v="0.92"/>
    <n v="1487336"/>
    <x v="4"/>
  </r>
  <r>
    <d v="2019-06-30T00:00:00"/>
    <x v="5"/>
    <n v="1029551"/>
    <n v="939572"/>
    <n v="89979"/>
    <n v="0.91300000000000003"/>
    <n v="2107811"/>
    <x v="4"/>
  </r>
  <r>
    <d v="2020-06-30T00:00:00"/>
    <x v="6"/>
    <n v="1439235"/>
    <n v="1298725"/>
    <n v="140510"/>
    <n v="0.90200000000000002"/>
    <n v="2234815"/>
    <x v="4"/>
  </r>
  <r>
    <d v="2021-06-30T00:00:00"/>
    <x v="7"/>
    <n v="1944122"/>
    <n v="2014000"/>
    <n v="-69878"/>
    <n v="1.036"/>
    <n v="2000206"/>
    <x v="4"/>
  </r>
  <r>
    <d v="2022-06-30T00:00:00"/>
    <x v="8"/>
    <n v="2465446"/>
    <n v="2144927"/>
    <n v="320519"/>
    <n v="0.87"/>
    <n v="2459552"/>
    <x v="4"/>
  </r>
  <r>
    <d v="2023-06-30T00:00:00"/>
    <x v="9"/>
    <n v="3170512"/>
    <n v="2738165"/>
    <n v="432347"/>
    <n v="0.86399999999999999"/>
    <n v="3161614"/>
    <x v="4"/>
  </r>
  <r>
    <d v="2014-06-30T00:00:00"/>
    <x v="0"/>
    <n v="159068080"/>
    <m/>
    <n v="41429288"/>
    <m/>
    <n v="13894664"/>
    <x v="5"/>
  </r>
  <r>
    <d v="2015-06-30T00:00:00"/>
    <x v="1"/>
    <n v="162866542"/>
    <m/>
    <n v="48469895"/>
    <m/>
    <n v="13841264"/>
    <x v="5"/>
  </r>
  <r>
    <d v="2016-06-30T00:00:00"/>
    <x v="2"/>
    <n v="171766055"/>
    <m/>
    <n v="59013014"/>
    <m/>
    <n v="14750780"/>
    <x v="5"/>
  </r>
  <r>
    <d v="2017-06-30T00:00:00"/>
    <x v="3"/>
    <n v="182807994"/>
    <m/>
    <n v="59713184"/>
    <m/>
    <n v="15481068"/>
    <x v="5"/>
  </r>
  <r>
    <d v="2018-06-30T00:00:00"/>
    <x v="4"/>
    <n v="198291955"/>
    <m/>
    <n v="67094347"/>
    <m/>
    <n v="16261559"/>
    <x v="5"/>
  </r>
  <r>
    <d v="2019-06-30T00:00:00"/>
    <x v="5"/>
    <n v="209981430"/>
    <m/>
    <n v="69854061"/>
    <m/>
    <n v="17046038"/>
    <x v="5"/>
  </r>
  <r>
    <d v="2020-06-30T00:00:00"/>
    <x v="6"/>
    <n v="219278233"/>
    <m/>
    <n v="74502630"/>
    <m/>
    <n v="17471687"/>
    <x v="5"/>
  </r>
  <r>
    <d v="2021-06-30T00:00:00"/>
    <x v="7"/>
    <n v="232933484"/>
    <m/>
    <n v="57792219"/>
    <m/>
    <n v="15910111"/>
    <x v="5"/>
  </r>
  <r>
    <d v="2022-06-30T00:00:00"/>
    <x v="8"/>
    <n v="243265487"/>
    <m/>
    <n v="84956834"/>
    <m/>
    <n v="15486824"/>
    <x v="5"/>
  </r>
  <r>
    <d v="2023-06-30T00:00:00"/>
    <x v="9"/>
    <n v="253499942"/>
    <m/>
    <n v="89246893"/>
    <m/>
    <n v="1682847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F8A803-EFA8-4417-B8CA-997F82F5514F}" name="PivotTable4"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K7:L29" firstHeaderRow="1" firstDataRow="1" firstDataCol="1"/>
  <pivotFields count="4">
    <pivotField axis="axisRow" compact="0" outline="0" showAll="0">
      <items count="22">
        <item x="0"/>
        <item x="1"/>
        <item x="2"/>
        <item x="3"/>
        <item x="4"/>
        <item x="5"/>
        <item x="6"/>
        <item x="7"/>
        <item x="8"/>
        <item x="9"/>
        <item x="10"/>
        <item x="11"/>
        <item x="12"/>
        <item x="13"/>
        <item x="14"/>
        <item x="15"/>
        <item x="16"/>
        <item x="17"/>
        <item x="18"/>
        <item x="19"/>
        <item x="20"/>
        <item t="default"/>
      </items>
    </pivotField>
    <pivotField compact="0" numFmtId="164" outline="0" showAll="0"/>
    <pivotField dataField="1" compact="0" numFmtId="164" outline="0" showAll="0">
      <items count="66">
        <item x="64"/>
        <item x="56"/>
        <item x="20"/>
        <item x="41"/>
        <item x="57"/>
        <item x="42"/>
        <item x="44"/>
        <item x="58"/>
        <item x="45"/>
        <item x="46"/>
        <item x="47"/>
        <item x="48"/>
        <item x="43"/>
        <item x="59"/>
        <item x="60"/>
        <item x="62"/>
        <item x="61"/>
        <item x="63"/>
        <item x="49"/>
        <item x="50"/>
        <item x="52"/>
        <item x="55"/>
        <item x="53"/>
        <item x="54"/>
        <item x="51"/>
        <item x="40"/>
        <item x="19"/>
        <item x="38"/>
        <item x="37"/>
        <item x="36"/>
        <item x="35"/>
        <item x="34"/>
        <item x="39"/>
        <item x="33"/>
        <item x="32"/>
        <item x="17"/>
        <item x="31"/>
        <item x="21"/>
        <item x="30"/>
        <item x="29"/>
        <item x="28"/>
        <item x="22"/>
        <item x="27"/>
        <item x="16"/>
        <item x="23"/>
        <item x="24"/>
        <item x="25"/>
        <item x="26"/>
        <item x="15"/>
        <item x="14"/>
        <item x="18"/>
        <item x="13"/>
        <item x="12"/>
        <item x="11"/>
        <item x="0"/>
        <item x="10"/>
        <item x="1"/>
        <item x="2"/>
        <item x="3"/>
        <item x="4"/>
        <item x="9"/>
        <item x="5"/>
        <item x="8"/>
        <item x="7"/>
        <item x="6"/>
        <item t="default"/>
      </items>
    </pivotField>
    <pivotField compact="0" outline="0" showAll="0">
      <items count="6">
        <item h="1" x="1"/>
        <item x="0"/>
        <item h="1" x="2"/>
        <item h="1" x="4"/>
        <item h="1" x="3"/>
        <item t="default"/>
      </items>
    </pivotField>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UAL Payment " fld="2" baseField="0" baseItem="0" numFmtId="164"/>
  </dataFields>
  <formats count="1">
    <format dxfId="23">
      <pivotArea outline="0" fieldPosition="0">
        <references count="2">
          <reference field="4294967294" count="1" selected="0">
            <x v="0"/>
          </reference>
          <reference field="0" count="0" selected="0"/>
        </references>
      </pivotArea>
    </format>
  </formats>
  <conditionalFormats count="1">
    <conditionalFormat priority="4">
      <pivotAreas count="1">
        <pivotArea type="data" outline="0" collapsedLevelsAreSubtotals="1" fieldPosition="0">
          <references count="2">
            <reference field="4294967294" count="1" selected="0">
              <x v="0"/>
            </reference>
            <reference field="0" count="21" selected="0">
              <x v="0"/>
              <x v="1"/>
              <x v="2"/>
              <x v="3"/>
              <x v="4"/>
              <x v="5"/>
              <x v="6"/>
              <x v="7"/>
              <x v="8"/>
              <x v="9"/>
              <x v="10"/>
              <x v="11"/>
              <x v="12"/>
              <x v="13"/>
              <x v="14"/>
              <x v="15"/>
              <x v="16"/>
              <x v="17"/>
              <x v="18"/>
              <x v="19"/>
              <x v="20"/>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3F692D-757B-4E92-86AA-E240526C470B}" name="PivotTable3"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F7:H29" firstHeaderRow="0" firstDataRow="1" firstDataCol="1"/>
  <pivotFields count="4">
    <pivotField axis="axisRow" compact="0" outline="0" showAll="0">
      <items count="22">
        <item x="0"/>
        <item x="1"/>
        <item x="2"/>
        <item x="3"/>
        <item x="4"/>
        <item x="5"/>
        <item x="6"/>
        <item x="7"/>
        <item x="8"/>
        <item x="9"/>
        <item x="10"/>
        <item x="11"/>
        <item x="12"/>
        <item x="13"/>
        <item x="14"/>
        <item x="15"/>
        <item x="16"/>
        <item x="17"/>
        <item x="18"/>
        <item x="19"/>
        <item x="20"/>
        <item t="default"/>
      </items>
    </pivotField>
    <pivotField dataField="1" compact="0" numFmtId="164" outline="0" showAll="0"/>
    <pivotField dataField="1" compact="0" numFmtId="164" outline="0" showAll="0">
      <items count="66">
        <item x="64"/>
        <item x="56"/>
        <item x="20"/>
        <item x="41"/>
        <item x="57"/>
        <item x="42"/>
        <item x="44"/>
        <item x="58"/>
        <item x="45"/>
        <item x="46"/>
        <item x="47"/>
        <item x="48"/>
        <item x="43"/>
        <item x="59"/>
        <item x="60"/>
        <item x="62"/>
        <item x="61"/>
        <item x="63"/>
        <item x="49"/>
        <item x="50"/>
        <item x="52"/>
        <item x="55"/>
        <item x="53"/>
        <item x="54"/>
        <item x="51"/>
        <item x="40"/>
        <item x="19"/>
        <item x="38"/>
        <item x="37"/>
        <item x="36"/>
        <item x="35"/>
        <item x="34"/>
        <item x="39"/>
        <item x="33"/>
        <item x="32"/>
        <item x="17"/>
        <item x="31"/>
        <item x="21"/>
        <item x="30"/>
        <item x="29"/>
        <item x="28"/>
        <item x="22"/>
        <item x="27"/>
        <item x="16"/>
        <item x="23"/>
        <item x="24"/>
        <item x="25"/>
        <item x="26"/>
        <item x="15"/>
        <item x="14"/>
        <item x="18"/>
        <item x="13"/>
        <item x="12"/>
        <item x="11"/>
        <item x="0"/>
        <item x="10"/>
        <item x="1"/>
        <item x="2"/>
        <item x="3"/>
        <item x="4"/>
        <item x="9"/>
        <item x="5"/>
        <item x="8"/>
        <item x="7"/>
        <item x="6"/>
        <item t="default"/>
      </items>
    </pivotField>
    <pivotField compact="0" outline="0" showAll="0">
      <items count="6">
        <item h="1" x="1"/>
        <item x="0"/>
        <item h="1" x="2"/>
        <item h="1" x="4"/>
        <item h="1" x="3"/>
        <item t="default"/>
      </items>
    </pivotField>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UAL Payment " fld="2" baseField="0" baseItem="0" numFmtId="164"/>
    <dataField name="UAL " fld="1" baseField="0" baseItem="0" numFmtId="164"/>
  </dataFields>
  <formats count="1">
    <format dxfId="24">
      <pivotArea outline="0" fieldPosition="0">
        <references count="2">
          <reference field="4294967294" count="1" selected="0">
            <x v="0"/>
          </reference>
          <reference field="0" count="0" selected="0"/>
        </references>
      </pivotArea>
    </format>
  </formats>
  <conditionalFormats count="2">
    <conditionalFormat priority="5">
      <pivotAreas count="1">
        <pivotArea type="data" outline="0" collapsedLevelsAreSubtotals="1" fieldPosition="0">
          <references count="2">
            <reference field="4294967294" count="1" selected="0">
              <x v="1"/>
            </reference>
            <reference field="0" count="21" selected="0">
              <x v="0"/>
              <x v="1"/>
              <x v="2"/>
              <x v="3"/>
              <x v="4"/>
              <x v="5"/>
              <x v="6"/>
              <x v="7"/>
              <x v="8"/>
              <x v="9"/>
              <x v="10"/>
              <x v="11"/>
              <x v="12"/>
              <x v="13"/>
              <x v="14"/>
              <x v="15"/>
              <x v="16"/>
              <x v="17"/>
              <x v="18"/>
              <x v="19"/>
              <x v="20"/>
            </reference>
          </references>
        </pivotArea>
      </pivotAreas>
    </conditionalFormat>
    <conditionalFormat priority="6">
      <pivotAreas count="1">
        <pivotArea type="data" outline="0" collapsedLevelsAreSubtotals="1" fieldPosition="0">
          <references count="2">
            <reference field="4294967294" count="1" selected="0">
              <x v="0"/>
            </reference>
            <reference field="0" count="21" selected="0">
              <x v="0"/>
              <x v="1"/>
              <x v="2"/>
              <x v="3"/>
              <x v="4"/>
              <x v="5"/>
              <x v="6"/>
              <x v="7"/>
              <x v="8"/>
              <x v="9"/>
              <x v="10"/>
              <x v="11"/>
              <x v="12"/>
              <x v="13"/>
              <x v="14"/>
              <x v="15"/>
              <x v="16"/>
              <x v="17"/>
              <x v="18"/>
              <x v="19"/>
              <x v="2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91FB79-FB47-4644-AF13-B0CE874887BF}" name="PivotTable5"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P7:Q29" firstHeaderRow="1" firstDataRow="1" firstDataCol="1"/>
  <pivotFields count="4">
    <pivotField axis="axisRow" compact="0" outline="0" showAll="0">
      <items count="22">
        <item x="0"/>
        <item x="1"/>
        <item x="2"/>
        <item x="3"/>
        <item x="4"/>
        <item x="5"/>
        <item x="6"/>
        <item x="7"/>
        <item x="8"/>
        <item x="9"/>
        <item x="10"/>
        <item x="11"/>
        <item x="12"/>
        <item x="13"/>
        <item x="14"/>
        <item x="15"/>
        <item x="16"/>
        <item x="17"/>
        <item x="18"/>
        <item x="19"/>
        <item x="20"/>
        <item t="default"/>
      </items>
    </pivotField>
    <pivotField dataField="1" compact="0" numFmtId="164" outline="0" showAll="0"/>
    <pivotField compact="0" numFmtId="164" outline="0" showAll="0">
      <items count="66">
        <item x="64"/>
        <item x="56"/>
        <item x="20"/>
        <item x="41"/>
        <item x="57"/>
        <item x="42"/>
        <item x="44"/>
        <item x="58"/>
        <item x="45"/>
        <item x="46"/>
        <item x="47"/>
        <item x="48"/>
        <item x="43"/>
        <item x="59"/>
        <item x="60"/>
        <item x="62"/>
        <item x="61"/>
        <item x="63"/>
        <item x="49"/>
        <item x="50"/>
        <item x="52"/>
        <item x="55"/>
        <item x="53"/>
        <item x="54"/>
        <item x="51"/>
        <item x="40"/>
        <item x="19"/>
        <item x="38"/>
        <item x="37"/>
        <item x="36"/>
        <item x="35"/>
        <item x="34"/>
        <item x="39"/>
        <item x="33"/>
        <item x="32"/>
        <item x="17"/>
        <item x="31"/>
        <item x="21"/>
        <item x="30"/>
        <item x="29"/>
        <item x="28"/>
        <item x="22"/>
        <item x="27"/>
        <item x="16"/>
        <item x="23"/>
        <item x="24"/>
        <item x="25"/>
        <item x="26"/>
        <item x="15"/>
        <item x="14"/>
        <item x="18"/>
        <item x="13"/>
        <item x="12"/>
        <item x="11"/>
        <item x="0"/>
        <item x="10"/>
        <item x="1"/>
        <item x="2"/>
        <item x="3"/>
        <item x="4"/>
        <item x="9"/>
        <item x="5"/>
        <item x="8"/>
        <item x="7"/>
        <item x="6"/>
        <item t="default"/>
      </items>
    </pivotField>
    <pivotField compact="0" outline="0" showAll="0">
      <items count="6">
        <item h="1" x="1"/>
        <item x="0"/>
        <item h="1" x="2"/>
        <item h="1" x="4"/>
        <item h="1" x="3"/>
        <item t="default"/>
      </items>
    </pivotField>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UAL" fld="1" baseField="0" baseItem="0" numFmtId="164"/>
  </dataFields>
  <conditionalFormats count="1">
    <conditionalFormat priority="1">
      <pivotAreas count="1">
        <pivotArea type="data" outline="0" collapsedLevelsAreSubtotals="1" fieldPosition="0">
          <references count="2">
            <reference field="4294967294" count="1" selected="0">
              <x v="0"/>
            </reference>
            <reference field="0" count="21" selected="0">
              <x v="0"/>
              <x v="1"/>
              <x v="2"/>
              <x v="3"/>
              <x v="4"/>
              <x v="5"/>
              <x v="6"/>
              <x v="7"/>
              <x v="8"/>
              <x v="9"/>
              <x v="10"/>
              <x v="11"/>
              <x v="12"/>
              <x v="13"/>
              <x v="14"/>
              <x v="15"/>
              <x v="16"/>
              <x v="17"/>
              <x v="18"/>
              <x v="19"/>
              <x v="20"/>
            </reference>
          </references>
        </pivotArea>
      </pivotAreas>
    </conditionalFormat>
  </conditionalFormats>
  <chartFormats count="2">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8E5DA3-6799-45E4-A425-EEEDEEFEF28E}" name="PivotTable10"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E6:F13" firstHeaderRow="1" firstDataRow="1" firstDataCol="1"/>
  <pivotFields count="3">
    <pivotField axis="axisRow" compact="0" outline="0" showAll="0">
      <items count="7">
        <item x="0"/>
        <item x="1"/>
        <item x="2"/>
        <item x="3"/>
        <item x="4"/>
        <item x="5"/>
        <item t="default"/>
      </items>
    </pivotField>
    <pivotField dataField="1" compact="0" numFmtId="164" outline="0" showAll="0"/>
    <pivotField compact="0" outline="0" showAll="0">
      <items count="7">
        <item h="1" x="1"/>
        <item h="1" x="0"/>
        <item h="1" x="2"/>
        <item h="1" x="4"/>
        <item h="1" x="3"/>
        <item x="5"/>
        <item t="default"/>
      </items>
    </pivotField>
  </pivotFields>
  <rowFields count="1">
    <field x="0"/>
  </rowFields>
  <rowItems count="7">
    <i>
      <x/>
    </i>
    <i>
      <x v="1"/>
    </i>
    <i>
      <x v="2"/>
    </i>
    <i>
      <x v="3"/>
    </i>
    <i>
      <x v="4"/>
    </i>
    <i>
      <x v="5"/>
    </i>
    <i t="grand">
      <x/>
    </i>
  </rowItems>
  <colItems count="1">
    <i/>
  </colItems>
  <dataFields count="1">
    <dataField name="UAL Payment " fld="1" baseField="0" baseItem="0" numFmtId="164"/>
  </dataFields>
  <chartFormats count="2">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6CAE04-E22F-41C0-BD6B-DDB227D09798}" name="PivotTable6"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2:J23" firstHeaderRow="0" firstDataRow="1" firstDataCol="1"/>
  <pivotFields count="4">
    <pivotField axis="axisRow" compact="0" outline="0" showAll="0">
      <items count="22">
        <item x="0"/>
        <item x="1"/>
        <item x="2"/>
        <item x="3"/>
        <item x="4"/>
        <item x="5"/>
        <item x="6"/>
        <item x="7"/>
        <item x="8"/>
        <item x="9"/>
        <item x="10"/>
        <item x="11"/>
        <item x="12"/>
        <item x="13"/>
        <item x="14"/>
        <item x="15"/>
        <item x="16"/>
        <item x="17"/>
        <item x="18"/>
        <item x="19"/>
        <item x="20"/>
        <item t="default"/>
      </items>
    </pivotField>
    <pivotField dataField="1" compact="0" numFmtId="164" outline="0" showAll="0"/>
    <pivotField dataField="1" compact="0" numFmtId="164" outline="0" showAll="0"/>
    <pivotField compact="0" outline="0" showAll="0">
      <items count="7">
        <item x="1"/>
        <item h="1" x="0"/>
        <item h="1" x="2"/>
        <item h="1" x="4"/>
        <item h="1" x="3"/>
        <item h="1" x="5"/>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UAL Payment " fld="2" baseField="0" baseItem="0" numFmtId="164"/>
    <dataField name="UAL " fld="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698A51-7EDE-47BF-9836-4FF459C00FC0}" name="PivotTable9"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R2:S23" firstHeaderRow="1" firstDataRow="1" firstDataCol="1"/>
  <pivotFields count="4">
    <pivotField axis="axisRow" compact="0" outline="0" showAll="0">
      <items count="22">
        <item x="0"/>
        <item x="1"/>
        <item x="2"/>
        <item x="3"/>
        <item x="4"/>
        <item x="5"/>
        <item x="6"/>
        <item x="7"/>
        <item x="8"/>
        <item x="9"/>
        <item x="10"/>
        <item x="11"/>
        <item x="12"/>
        <item x="13"/>
        <item x="14"/>
        <item x="15"/>
        <item x="16"/>
        <item x="17"/>
        <item x="18"/>
        <item x="19"/>
        <item x="20"/>
        <item t="default"/>
      </items>
    </pivotField>
    <pivotField dataField="1" compact="0" numFmtId="164" outline="0" showAll="0"/>
    <pivotField compact="0" numFmtId="164" outline="0" showAll="0"/>
    <pivotField compact="0" outline="0" showAll="0">
      <items count="7">
        <item x="1"/>
        <item h="1" x="0"/>
        <item h="1" x="2"/>
        <item h="1" x="4"/>
        <item h="1" x="3"/>
        <item h="1" x="5"/>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UAL " fld="1"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8A73B3-1FD8-4934-A3B1-61D982895700}" name="PivotTable8"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M2:N23" firstHeaderRow="1" firstDataRow="1" firstDataCol="1"/>
  <pivotFields count="4">
    <pivotField axis="axisRow" compact="0" outline="0" showAll="0">
      <items count="22">
        <item x="0"/>
        <item x="1"/>
        <item x="2"/>
        <item x="3"/>
        <item x="4"/>
        <item x="5"/>
        <item x="6"/>
        <item x="7"/>
        <item x="8"/>
        <item x="9"/>
        <item x="10"/>
        <item x="11"/>
        <item x="12"/>
        <item x="13"/>
        <item x="14"/>
        <item x="15"/>
        <item x="16"/>
        <item x="17"/>
        <item x="18"/>
        <item x="19"/>
        <item x="20"/>
        <item t="default"/>
      </items>
    </pivotField>
    <pivotField compact="0" numFmtId="164" outline="0" showAll="0"/>
    <pivotField dataField="1" compact="0" numFmtId="164" outline="0" showAll="0"/>
    <pivotField compact="0" outline="0" showAll="0">
      <items count="7">
        <item x="1"/>
        <item h="1" x="0"/>
        <item h="1" x="2"/>
        <item h="1" x="4"/>
        <item h="1" x="3"/>
        <item h="1" x="5"/>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UAL Payment " fld="2"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91AF00-2744-4515-B7ED-8DA15F36001E}" name="PivotTable11" cacheId="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H6:I17" firstHeaderRow="1" firstDataRow="1" firstDataCol="1"/>
  <pivotFields count="5">
    <pivotField compact="0" numFmtId="167" outline="0" showAll="0"/>
    <pivotField axis="axisRow" compact="0" outline="0" showAll="0">
      <items count="11">
        <item x="0"/>
        <item x="1"/>
        <item x="2"/>
        <item x="3"/>
        <item x="4"/>
        <item x="5"/>
        <item x="6"/>
        <item x="7"/>
        <item x="8"/>
        <item x="9"/>
        <item t="default"/>
      </items>
    </pivotField>
    <pivotField compact="0" outline="0" showAll="0"/>
    <pivotField dataField="1" compact="0" numFmtId="164" outline="0" showAll="0"/>
    <pivotField compact="0" outline="0" showAll="0">
      <items count="7">
        <item h="1" x="1"/>
        <item x="0"/>
        <item h="1" x="2"/>
        <item h="1" x="4"/>
        <item h="1" x="3"/>
        <item h="1" x="5"/>
        <item t="default"/>
      </items>
    </pivotField>
  </pivotFields>
  <rowFields count="1">
    <field x="1"/>
  </rowFields>
  <rowItems count="11">
    <i>
      <x/>
    </i>
    <i>
      <x v="1"/>
    </i>
    <i>
      <x v="2"/>
    </i>
    <i>
      <x v="3"/>
    </i>
    <i>
      <x v="4"/>
    </i>
    <i>
      <x v="5"/>
    </i>
    <i>
      <x v="6"/>
    </i>
    <i>
      <x v="7"/>
    </i>
    <i>
      <x v="8"/>
    </i>
    <i>
      <x v="9"/>
    </i>
    <i t="grand">
      <x/>
    </i>
  </rowItems>
  <colItems count="1">
    <i/>
  </colItems>
  <dataFields count="1">
    <dataField name="UAL Payment " fld="3" baseField="1" baseItem="0" numFmtId="164"/>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6B0CDB-1F0C-4E83-B3E7-C5B8F1BA80D8}" name="PivotTable12"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K9:N19" firstHeaderRow="0" firstDataRow="1" firstDataCol="1"/>
  <pivotFields count="8">
    <pivotField compact="0" numFmtId="167" outline="0" showAll="0"/>
    <pivotField axis="axisRow" compact="0" outline="0" showAll="0">
      <items count="11">
        <item x="0"/>
        <item x="1"/>
        <item x="2"/>
        <item x="3"/>
        <item x="4"/>
        <item x="5"/>
        <item x="6"/>
        <item x="7"/>
        <item x="8"/>
        <item x="9"/>
        <item t="default"/>
      </items>
    </pivotField>
    <pivotField dataField="1" compact="0" numFmtId="164" outline="0" showAll="0"/>
    <pivotField compact="0" outline="0" showAll="0"/>
    <pivotField dataField="1" compact="0" numFmtId="164" outline="0" showAll="0"/>
    <pivotField dataField="1" compact="0" outline="0" showAll="0"/>
    <pivotField compact="0" numFmtId="164" outline="0" showAll="0"/>
    <pivotField compact="0" outline="0" showAll="0">
      <items count="7">
        <item h="1" x="1"/>
        <item x="0"/>
        <item h="1" x="2"/>
        <item h="1" x="4"/>
        <item h="1" x="3"/>
        <item h="1" x="5"/>
        <item t="default"/>
      </items>
    </pivotField>
  </pivotFields>
  <rowFields count="1">
    <field x="1"/>
  </rowFields>
  <rowItems count="10">
    <i>
      <x/>
    </i>
    <i>
      <x v="1"/>
    </i>
    <i>
      <x v="2"/>
    </i>
    <i>
      <x v="3"/>
    </i>
    <i>
      <x v="4"/>
    </i>
    <i>
      <x v="5"/>
    </i>
    <i>
      <x v="6"/>
    </i>
    <i>
      <x v="7"/>
    </i>
    <i>
      <x v="8"/>
    </i>
    <i>
      <x v="9"/>
    </i>
  </rowItems>
  <colFields count="1">
    <field x="-2"/>
  </colFields>
  <colItems count="3">
    <i>
      <x/>
    </i>
    <i i="1">
      <x v="1"/>
    </i>
    <i i="2">
      <x v="2"/>
    </i>
  </colItems>
  <dataFields count="3">
    <dataField name="Accrued Liability (AL) " fld="2" baseField="1" baseItem="0" numFmtId="164"/>
    <dataField name="Unfunded Accrued Liability (UAL) " fld="4" baseField="1" baseItem="0" numFmtId="164"/>
    <dataField name="Funded Ratio" fld="5" baseField="1" baseItem="0" numFmtId="165"/>
  </dataFields>
  <formats count="2">
    <format dxfId="14">
      <pivotArea outline="0" fieldPosition="0">
        <references count="1">
          <reference field="4294967294" count="1" selected="0">
            <x v="2"/>
          </reference>
        </references>
      </pivotArea>
    </format>
    <format dxfId="13">
      <pivotArea outline="0"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 xr10:uid="{CF463412-E86F-4660-AC03-F7C789E7A625}" sourceName="Plan">
  <pivotTables>
    <pivotTable tabId="4" name="PivotTable3"/>
    <pivotTable tabId="4" name="PivotTable4"/>
    <pivotTable tabId="4" name="PivotTable5"/>
  </pivotTables>
  <data>
    <tabular pivotCacheId="1878168640">
      <items count="5">
        <i x="1"/>
        <i x="0" s="1"/>
        <i x="2"/>
        <i x="4"/>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1" xr10:uid="{7FBC23F5-7958-4BE5-B5BF-9045D67B2923}" sourceName="Plan">
  <pivotTables>
    <pivotTable tabId="11" name="PivotTable6"/>
    <pivotTable tabId="11" name="PivotTable8"/>
    <pivotTable tabId="11" name="PivotTable9"/>
  </pivotTables>
  <data>
    <tabular pivotCacheId="1587276530">
      <items count="6">
        <i x="1" s="1"/>
        <i x="0"/>
        <i x="2"/>
        <i x="4"/>
        <i x="3"/>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2" xr10:uid="{287C59C5-FFFA-4E8A-970F-D805050126CB}" sourceName="Plan">
  <pivotTables>
    <pivotTable tabId="10" name="PivotTable10"/>
  </pivotTables>
  <data>
    <tabular pivotCacheId="1634353483">
      <items count="6">
        <i x="1"/>
        <i x="0"/>
        <i x="2"/>
        <i x="4"/>
        <i x="3"/>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3" xr10:uid="{7BDD9368-023C-4286-BF6F-5514DB9B34A7}" sourceName="Plan">
  <pivotTables>
    <pivotTable tabId="12" name="PivotTable11"/>
  </pivotTables>
  <data>
    <tabular pivotCacheId="1421600408">
      <items count="6">
        <i x="1"/>
        <i x="0" s="1"/>
        <i x="2"/>
        <i x="4"/>
        <i x="3"/>
        <i x="5"/>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4" xr10:uid="{CE9E0FC3-D50A-4FCE-9C87-168E82D7332E}" sourceName="Plan">
  <pivotTables>
    <pivotTable tabId="13" name="PivotTable12"/>
  </pivotTables>
  <data>
    <tabular pivotCacheId="152694965">
      <items count="6">
        <i x="1"/>
        <i x="0" s="1"/>
        <i x="2"/>
        <i x="4"/>
        <i x="3"/>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 xr10:uid="{A9A1B26C-73F1-4437-9038-5EF649F41788}" cache="Slicer_Plan" caption="Plan" columnCount="5"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 2" xr10:uid="{06CDC1E1-3ABC-43DB-816A-6AB6B2E9324C}" cache="Slicer_Plan2" caption="Plan" columnCount="6"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 1" xr10:uid="{912B7B11-81A7-4FB4-8202-B660C342E052}" cache="Slicer_Plan1" caption="Plan" columnCount="3"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 3" xr10:uid="{613B37BD-83A7-4900-B44B-460A6A612113}" cache="Slicer_Plan3" caption="Plan" columnCount="6"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 4" xr10:uid="{FB976A47-A8E2-4C87-B88C-EE14E14DE7B1}" cache="Slicer_Plan4" caption="Plan" columnCount="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mposite_AmortSch" displayName="Composite_AmortSch" ref="A1:D101">
  <autoFilter ref="A1:D101" xr:uid="{00000000-0009-0000-0100-000004000000}"/>
  <tableColumns count="4">
    <tableColumn id="1" xr3:uid="{00000000-0010-0000-0300-000001000000}" name="FY"/>
    <tableColumn id="2" xr3:uid="{00000000-0010-0000-0300-000002000000}" name="Balance" dataDxfId="22"/>
    <tableColumn id="3" xr3:uid="{00000000-0010-0000-0300-000003000000}" name="Payment" dataDxfId="21"/>
    <tableColumn id="4" xr3:uid="{00000000-0010-0000-0300-000004000000}" name="Pla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2B6208-C06E-4514-A979-9ECE3D8C351F}" name="Table11" displayName="Table11" ref="A1:C37" totalsRowShown="0">
  <autoFilter ref="A1:C37" xr:uid="{992B6208-C06E-4514-A979-9ECE3D8C351F}"/>
  <tableColumns count="3">
    <tableColumn id="1" xr3:uid="{BD9BE74E-D768-46AD-BD8C-94A8CBE993DF}" name="FY"/>
    <tableColumn id="2" xr3:uid="{1C035DE5-5E57-414D-9D07-9EE1A2CF39D6}" name="UAL Payment" dataDxfId="20"/>
    <tableColumn id="3" xr3:uid="{C1BD46B5-0999-4C0A-AD17-C3F062CAF044}" name="Pla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91F243C-71FF-4374-B466-02E7EB51FA1C}" name="ProjAmortSched" displayName="ProjAmortSched" ref="A1:D123" totalsRowShown="0">
  <autoFilter ref="A1:D123" xr:uid="{A91F243C-71FF-4374-B466-02E7EB51FA1C}"/>
  <tableColumns count="4">
    <tableColumn id="1" xr3:uid="{E00149CF-C4A6-48D5-A632-0D0D731AEA7A}" name="FY"/>
    <tableColumn id="2" xr3:uid="{148F3E0C-1D32-4B27-90A1-CA8C5372A47D}" name="UAL" dataDxfId="19"/>
    <tableColumn id="3" xr3:uid="{D7F52DD0-1A85-4EAD-A9B0-BF122408C389}" name="UAL Payment" dataDxfId="18"/>
    <tableColumn id="4" xr3:uid="{467CCD62-0945-4E54-8FE5-79ADC366E91D}" name="Pla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D4ADB9E-76A8-4391-82AE-2C5E1A261170}" name="Table12" displayName="Table12" ref="A1:E61" totalsRowShown="0">
  <autoFilter ref="A1:E61" xr:uid="{BD4ADB9E-76A8-4391-82AE-2C5E1A261170}"/>
  <tableColumns count="5">
    <tableColumn id="1" xr3:uid="{D7B50965-D3EB-4F70-AA3A-6BD8C6310C1D}" name="Valuation_x000a_Date" dataDxfId="17"/>
    <tableColumn id="2" xr3:uid="{D3ECE96A-A66B-446A-845A-54A547490A1E}" name="FY"/>
    <tableColumn id="3" xr3:uid="{C4FF0880-E09D-4599-99C2-AE7DD3C3D6E8}" name="Employer_x000a_Normal Cost Rate" dataDxfId="16" dataCellStyle="Percent"/>
    <tableColumn id="4" xr3:uid="{32A7C7B7-151B-4436-B16D-17B429F6836E}" name="UAL Payment" dataDxfId="15"/>
    <tableColumn id="5" xr3:uid="{F8707D71-B9E6-4DCA-9EED-A1FB20967D3E}" name="Pla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posite_FundedHistory" displayName="Composite_FundedHistory" ref="A1:G21">
  <autoFilter ref="A1:G21" xr:uid="{00000000-0009-0000-0100-000006000000}"/>
  <tableColumns count="7">
    <tableColumn id="1" xr3:uid="{00000000-0010-0000-0500-000001000000}" name="Valuation_x000a_Date"/>
    <tableColumn id="2" xr3:uid="{00000000-0010-0000-0500-000002000000}" name="Accrued_x000a_Liability_x000a_(AL)"/>
    <tableColumn id="3" xr3:uid="{00000000-0010-0000-0500-000003000000}" name="Share of Pool’s_x000a_Market Value of_x000a_Assets (MVA)"/>
    <tableColumn id="4" xr3:uid="{00000000-0010-0000-0500-000004000000}" name="Unfunded_x000a_Accrued Liability_x000a_(UAL)"/>
    <tableColumn id="5" xr3:uid="{00000000-0010-0000-0500-000005000000}" name="Funded_x000a_Ratio"/>
    <tableColumn id="6" xr3:uid="{00000000-0010-0000-0500-000006000000}" name="Annual_x000a_Covered_x000a_Payroll"/>
    <tableColumn id="7" xr3:uid="{00000000-0010-0000-0500-000007000000}" name="Pla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828202-29FE-4389-9497-7B597E4FDA55}" name="Table13" displayName="Table13" ref="A1:H61" totalsRowShown="0" headerRowDxfId="12">
  <autoFilter ref="A1:H61" xr:uid="{71828202-29FE-4389-9497-7B597E4FDA55}"/>
  <tableColumns count="8">
    <tableColumn id="1" xr3:uid="{2E34F687-EF57-4737-AF6F-73A9B82FA4CF}" name="Valuation_x000a_Date" dataDxfId="11"/>
    <tableColumn id="2" xr3:uid="{EF278409-CF8D-4C56-830C-409A36E6C276}" name="FY"/>
    <tableColumn id="3" xr3:uid="{663FFDBD-2E0E-49E1-82E9-D21D252A4D0D}" name="Accrued Liability (AL)" dataDxfId="10"/>
    <tableColumn id="4" xr3:uid="{3E78D5D1-FBBF-4B67-A04D-CAA50F9CC5F1}" name="Share of Pool’s Market Value of Assets (MVA)" dataDxfId="9"/>
    <tableColumn id="5" xr3:uid="{B8EE0F5B-6FD4-4B6F-9324-60DDD42BB898}" name="Unfunded Accrued Liability (UAL)" dataDxfId="8"/>
    <tableColumn id="6" xr3:uid="{E8254D1A-8FDC-4E38-838C-2EB4456AC699}" name="Funded_x000a_Ratio" dataDxfId="7" dataCellStyle="Percent"/>
    <tableColumn id="7" xr3:uid="{8E0D2B7F-2F3D-45CC-B1DF-C1800144880B}" name="Annual Covered Payroll" dataDxfId="6"/>
    <tableColumn id="8" xr3:uid="{768CF843-7C2D-4A04-B3AE-33034DA73CA4}" name="Pla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posite_UALSummary" displayName="Composite_UALSummary" ref="A1:C7">
  <autoFilter ref="A1:C7" xr:uid="{00000000-0009-0000-0100-000001000000}"/>
  <tableColumns count="3">
    <tableColumn id="1" xr3:uid="{00000000-0010-0000-0000-000001000000}" name="Plan"/>
    <tableColumn id="2" xr3:uid="{00000000-0010-0000-0000-000002000000}" name="UAL"/>
    <tableColumn id="3" xr3:uid="{00000000-0010-0000-0000-000003000000}" name="UAL_Payment"/>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posite_FundedRatio" displayName="Composite_FundedRatio" ref="A1:C11">
  <autoFilter ref="A1:C11" xr:uid="{00000000-0009-0000-0100-000002000000}"/>
  <tableColumns count="3">
    <tableColumn id="1" xr3:uid="{00000000-0010-0000-0100-000001000000}" name="Category_20230630"/>
    <tableColumn id="2" xr3:uid="{00000000-0010-0000-0100-000002000000}" name="Value"/>
    <tableColumn id="3" xr3:uid="{00000000-0010-0000-0100-000003000000}" name="Plan"/>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mposite_FundedRatioDiscountR" displayName="Composite_FundedRatioDiscountR" ref="A1:E9">
  <autoFilter ref="A1:E9" xr:uid="{00000000-0009-0000-0100-000003000000}"/>
  <tableColumns count="5">
    <tableColumn id="1" xr3:uid="{00000000-0010-0000-0200-000001000000}" name="Discount_Rate"/>
    <tableColumn id="2" xr3:uid="{00000000-0010-0000-0200-000002000000}" name="Discount_Rate_058"/>
    <tableColumn id="3" xr3:uid="{00000000-0010-0000-0200-000003000000}" name="Discount_Rate_068"/>
    <tableColumn id="4" xr3:uid="{00000000-0010-0000-0200-000004000000}" name="Discount_Rate_078"/>
    <tableColumn id="5" xr3:uid="{00000000-0010-0000-0200-000005000000}" name="Pla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omposite_LiabilityVolatilityR" displayName="Composite_LiabilityVolatilityR" ref="A1:F15">
  <autoFilter ref="A1:F15" xr:uid="{00000000-0009-0000-0100-000009000000}"/>
  <tableColumns count="6">
    <tableColumn id="1" xr3:uid="{00000000-0010-0000-0800-000001000000}" name="ValuationDate"/>
    <tableColumn id="2" xr3:uid="{00000000-0010-0000-0800-000002000000}" name="Retiree_Accrued_Liability_to_Total_Accrued_Liability" dataDxfId="2" dataCellStyle="Percent"/>
    <tableColumn id="3" xr3:uid="{00000000-0010-0000-0800-000003000000}" name="Support_Ratio" dataDxfId="0" dataCellStyle="Percent"/>
    <tableColumn id="4" xr3:uid="{00000000-0010-0000-0800-000004000000}" name="Asset_x000a_Volatility_x000a_Ratio" dataDxfId="1"/>
    <tableColumn id="5" xr3:uid="{00000000-0010-0000-0800-000005000000}" name="Liability_x000a_Volatility_x000a_Ratio" dataDxfId="3"/>
    <tableColumn id="6" xr3:uid="{00000000-0010-0000-0800-000006000000}" name="Plan"/>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mposite_SupportRatio" displayName="Composite_SupportRatio" ref="A1:C7">
  <autoFilter ref="A1:C7" xr:uid="{00000000-0009-0000-0100-000007000000}"/>
  <tableColumns count="3">
    <tableColumn id="1" xr3:uid="{00000000-0010-0000-0600-000001000000}" name="Category"/>
    <tableColumn id="2" xr3:uid="{00000000-0010-0000-0600-000002000000}" name="Data" dataDxfId="5"/>
    <tableColumn id="3" xr3:uid="{00000000-0010-0000-0600-000003000000}" name="Pla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omposite_ContributionVolatili" displayName="Composite_ContributionVolatili" ref="A1:C11">
  <autoFilter ref="A1:C11" xr:uid="{00000000-0009-0000-0100-000008000000}"/>
  <tableColumns count="3">
    <tableColumn id="1" xr3:uid="{00000000-0010-0000-0700-000001000000}" name="Category"/>
    <tableColumn id="2" xr3:uid="{00000000-0010-0000-0700-000002000000}" name="Data"/>
    <tableColumn id="3" xr3:uid="{00000000-0010-0000-0700-000003000000}" name="Plan"/>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mposite_Amort2026ClassicSafe" displayName="Composite_Amort2026ClassicSafe" ref="A1:B4">
  <autoFilter ref="A1:B4" xr:uid="{00000000-0009-0000-0100-000005000000}"/>
  <tableColumns count="2">
    <tableColumn id="1" xr3:uid="{00000000-0010-0000-0400-000001000000}" name="FY"/>
    <tableColumn id="2" xr3:uid="{00000000-0010-0000-0400-000002000000}" name="UAL Payment" dataDxfId="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ivotTable" Target="../pivotTables/pivotTable4.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3.xml"/><Relationship Id="rId5" Type="http://schemas.openxmlformats.org/officeDocument/2006/relationships/table" Target="../tables/table3.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ivotTable" Target="../pivotTables/pivotTable8.xml"/><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ivotTable" Target="../pivotTables/pivotTable9.xml"/><Relationship Id="rId4" Type="http://schemas.microsoft.com/office/2007/relationships/slicer" Target="../slicers/slicer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D1E2C-2BDD-4C33-88DA-9B178D7A694C}">
  <sheetPr>
    <tabColor rgb="FF00B0F0"/>
  </sheetPr>
  <dimension ref="A1"/>
  <sheetViews>
    <sheetView tabSelected="1" workbookViewId="0">
      <selection activeCell="F2" sqref="F2"/>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0FC9C-5317-452D-8854-5BDA3A1048C1}">
  <sheetPr>
    <tabColor rgb="FF00B0F0"/>
  </sheetPr>
  <dimension ref="A3:J25"/>
  <sheetViews>
    <sheetView workbookViewId="0">
      <selection activeCell="B11" sqref="B11"/>
    </sheetView>
  </sheetViews>
  <sheetFormatPr defaultRowHeight="15" x14ac:dyDescent="0.25"/>
  <cols>
    <col min="2" max="2" width="30.140625" bestFit="1" customWidth="1"/>
    <col min="3" max="3" width="50.42578125" style="47" customWidth="1"/>
    <col min="4" max="4" width="11.5703125" bestFit="1" customWidth="1"/>
    <col min="5" max="5" width="12" bestFit="1" customWidth="1"/>
    <col min="9" max="9" width="39.140625" customWidth="1"/>
    <col min="10" max="10" width="50.42578125" style="47" customWidth="1"/>
    <col min="11" max="13" width="39.140625" customWidth="1"/>
  </cols>
  <sheetData>
    <row r="3" spans="1:10" x14ac:dyDescent="0.25">
      <c r="B3" s="49" t="s">
        <v>115</v>
      </c>
      <c r="C3" s="52" t="s">
        <v>118</v>
      </c>
    </row>
    <row r="4" spans="1:10" x14ac:dyDescent="0.25">
      <c r="B4" s="50" t="s">
        <v>117</v>
      </c>
      <c r="C4" s="52" t="s">
        <v>119</v>
      </c>
    </row>
    <row r="5" spans="1:10" x14ac:dyDescent="0.25">
      <c r="B5" s="51" t="s">
        <v>116</v>
      </c>
    </row>
    <row r="8" spans="1:10" s="16" customFormat="1" x14ac:dyDescent="0.25">
      <c r="A8" s="56"/>
      <c r="B8" s="56" t="s">
        <v>101</v>
      </c>
      <c r="C8" s="56" t="s">
        <v>102</v>
      </c>
      <c r="D8" s="56" t="s">
        <v>105</v>
      </c>
      <c r="E8" s="56" t="s">
        <v>106</v>
      </c>
      <c r="F8" s="48"/>
    </row>
    <row r="9" spans="1:10" x14ac:dyDescent="0.25">
      <c r="A9" s="57">
        <v>1</v>
      </c>
      <c r="B9" s="50" t="s">
        <v>87</v>
      </c>
      <c r="C9" s="58" t="s">
        <v>104</v>
      </c>
      <c r="D9" s="57" t="s">
        <v>107</v>
      </c>
      <c r="E9" s="57" t="s">
        <v>107</v>
      </c>
      <c r="F9" s="47"/>
      <c r="J9"/>
    </row>
    <row r="10" spans="1:10" x14ac:dyDescent="0.25">
      <c r="A10" s="57">
        <v>2</v>
      </c>
      <c r="B10" s="50" t="s">
        <v>86</v>
      </c>
      <c r="C10" s="58" t="s">
        <v>103</v>
      </c>
      <c r="D10" s="57" t="s">
        <v>107</v>
      </c>
      <c r="E10" s="57" t="s">
        <v>107</v>
      </c>
      <c r="F10" s="47"/>
      <c r="J10"/>
    </row>
    <row r="11" spans="1:10" x14ac:dyDescent="0.25">
      <c r="A11" s="57">
        <v>3</v>
      </c>
      <c r="B11" s="59" t="s">
        <v>90</v>
      </c>
      <c r="C11" s="58" t="s">
        <v>113</v>
      </c>
      <c r="D11" s="57" t="s">
        <v>108</v>
      </c>
      <c r="E11" s="57" t="s">
        <v>108</v>
      </c>
      <c r="F11" s="47"/>
      <c r="J11"/>
    </row>
    <row r="12" spans="1:10" x14ac:dyDescent="0.25">
      <c r="A12" s="57">
        <v>4</v>
      </c>
      <c r="B12" s="59" t="s">
        <v>96</v>
      </c>
      <c r="C12" s="58" t="s">
        <v>121</v>
      </c>
      <c r="D12" s="57" t="s">
        <v>108</v>
      </c>
      <c r="E12" s="57" t="s">
        <v>108</v>
      </c>
      <c r="F12" s="47"/>
      <c r="J12"/>
    </row>
    <row r="13" spans="1:10" ht="30" x14ac:dyDescent="0.25">
      <c r="A13" s="57">
        <v>5</v>
      </c>
      <c r="B13" s="59" t="s">
        <v>97</v>
      </c>
      <c r="C13" s="58" t="s">
        <v>120</v>
      </c>
      <c r="D13" s="57" t="s">
        <v>108</v>
      </c>
      <c r="E13" s="57" t="s">
        <v>108</v>
      </c>
      <c r="F13" s="47"/>
      <c r="J13"/>
    </row>
    <row r="14" spans="1:10" x14ac:dyDescent="0.25">
      <c r="A14" s="57">
        <v>6</v>
      </c>
      <c r="B14" s="60" t="s">
        <v>98</v>
      </c>
      <c r="C14" s="58" t="s">
        <v>122</v>
      </c>
      <c r="D14" s="57" t="s">
        <v>108</v>
      </c>
      <c r="E14" s="57" t="s">
        <v>108</v>
      </c>
      <c r="F14" s="47"/>
      <c r="J14"/>
    </row>
    <row r="15" spans="1:10" x14ac:dyDescent="0.25">
      <c r="A15" s="57">
        <v>7</v>
      </c>
      <c r="B15" s="60" t="s">
        <v>92</v>
      </c>
      <c r="C15" s="58" t="s">
        <v>123</v>
      </c>
      <c r="D15" s="57" t="s">
        <v>107</v>
      </c>
      <c r="E15" s="57" t="s">
        <v>107</v>
      </c>
      <c r="F15" s="47"/>
      <c r="J15"/>
    </row>
    <row r="16" spans="1:10" x14ac:dyDescent="0.25">
      <c r="A16" s="57">
        <v>8</v>
      </c>
      <c r="B16" s="60" t="s">
        <v>99</v>
      </c>
      <c r="C16" s="58" t="s">
        <v>126</v>
      </c>
      <c r="D16" s="57" t="s">
        <v>108</v>
      </c>
      <c r="E16" s="57" t="s">
        <v>107</v>
      </c>
      <c r="F16" s="47"/>
      <c r="J16"/>
    </row>
    <row r="17" spans="1:10" x14ac:dyDescent="0.25">
      <c r="A17" s="57">
        <v>9</v>
      </c>
      <c r="B17" s="61" t="s">
        <v>88</v>
      </c>
      <c r="C17" s="58" t="s">
        <v>109</v>
      </c>
      <c r="D17" s="57" t="s">
        <v>107</v>
      </c>
      <c r="E17" s="57" t="s">
        <v>110</v>
      </c>
      <c r="F17" s="47"/>
      <c r="J17"/>
    </row>
    <row r="18" spans="1:10" x14ac:dyDescent="0.25">
      <c r="A18" s="57">
        <v>10</v>
      </c>
      <c r="B18" s="61" t="s">
        <v>82</v>
      </c>
      <c r="C18" s="58" t="s">
        <v>111</v>
      </c>
      <c r="D18" s="57" t="s">
        <v>107</v>
      </c>
      <c r="E18" s="57" t="s">
        <v>107</v>
      </c>
      <c r="F18" s="47"/>
      <c r="J18"/>
    </row>
    <row r="19" spans="1:10" x14ac:dyDescent="0.25">
      <c r="A19" s="57">
        <v>11</v>
      </c>
      <c r="B19" s="61" t="s">
        <v>100</v>
      </c>
      <c r="C19" s="58" t="s">
        <v>127</v>
      </c>
      <c r="D19" s="57" t="s">
        <v>107</v>
      </c>
      <c r="E19" s="57" t="s">
        <v>107</v>
      </c>
      <c r="F19" s="47"/>
      <c r="J19"/>
    </row>
    <row r="20" spans="1:10" ht="30" x14ac:dyDescent="0.25">
      <c r="A20" s="57">
        <v>12</v>
      </c>
      <c r="B20" s="61" t="s">
        <v>89</v>
      </c>
      <c r="C20" s="58" t="s">
        <v>112</v>
      </c>
      <c r="D20" s="57" t="s">
        <v>107</v>
      </c>
      <c r="E20" s="57" t="s">
        <v>107</v>
      </c>
      <c r="F20" s="47"/>
      <c r="J20"/>
    </row>
    <row r="21" spans="1:10" x14ac:dyDescent="0.25">
      <c r="A21" s="57">
        <v>13</v>
      </c>
      <c r="B21" s="61" t="s">
        <v>95</v>
      </c>
      <c r="C21" s="58" t="s">
        <v>128</v>
      </c>
      <c r="D21" s="57" t="s">
        <v>107</v>
      </c>
      <c r="E21" s="57" t="s">
        <v>107</v>
      </c>
      <c r="F21" s="47"/>
      <c r="J21"/>
    </row>
    <row r="22" spans="1:10" x14ac:dyDescent="0.25">
      <c r="A22" s="57">
        <v>14</v>
      </c>
      <c r="B22" s="61" t="s">
        <v>93</v>
      </c>
      <c r="C22" s="58" t="s">
        <v>130</v>
      </c>
      <c r="D22" s="57" t="s">
        <v>107</v>
      </c>
      <c r="E22" s="57" t="s">
        <v>107</v>
      </c>
      <c r="F22" s="47"/>
      <c r="J22"/>
    </row>
    <row r="23" spans="1:10" x14ac:dyDescent="0.25">
      <c r="A23" s="57">
        <v>15</v>
      </c>
      <c r="B23" s="61" t="s">
        <v>94</v>
      </c>
      <c r="C23" s="58" t="s">
        <v>129</v>
      </c>
      <c r="D23" s="57" t="s">
        <v>107</v>
      </c>
      <c r="E23" s="57" t="s">
        <v>107</v>
      </c>
      <c r="F23" s="47"/>
      <c r="J23"/>
    </row>
    <row r="24" spans="1:10" ht="30" x14ac:dyDescent="0.25">
      <c r="A24" s="57">
        <v>16</v>
      </c>
      <c r="B24" s="61" t="s">
        <v>91</v>
      </c>
      <c r="C24" s="58" t="s">
        <v>114</v>
      </c>
      <c r="D24" s="57" t="s">
        <v>107</v>
      </c>
      <c r="E24" s="57" t="s">
        <v>107</v>
      </c>
      <c r="F24" s="47"/>
      <c r="J24"/>
    </row>
    <row r="25" spans="1:10" x14ac:dyDescent="0.25">
      <c r="A25" s="56"/>
      <c r="B25" s="56"/>
      <c r="C25" s="56"/>
      <c r="D25" s="56"/>
      <c r="E25" s="56"/>
      <c r="F25" s="47"/>
      <c r="J25"/>
    </row>
  </sheetData>
  <hyperlinks>
    <hyperlink ref="B11" location="AmortSch3" display="Amort Sch" xr:uid="{B4750930-7B12-4466-81A8-C401C5F1F795}"/>
    <hyperlink ref="B12" location="ProjEmplContrib4" display="Proj Emply Contrib" xr:uid="{AD426856-3CAE-41F2-8B9B-8DB94CF174C1}"/>
    <hyperlink ref="B13" location="ProjAmortSched5" display="Projected Amortization Schedule" xr:uid="{0AB7CE46-EC1A-4BED-AF82-B61B66BB55A4}"/>
    <hyperlink ref="B14" location="EmployerContribHist6" display="Employer Contribution History" xr:uid="{4EA17AEF-61C1-46C7-B5F4-579E602A0AD6}"/>
    <hyperlink ref="B15" location="FundedHist7" display="Funded History" xr:uid="{F5DCFFA6-95A0-434B-9111-D6F040089F1F}"/>
    <hyperlink ref="B16" location="FundingHist8" display="Funding History" xr:uid="{A879AF06-B8F9-435D-A798-3662129700B6}"/>
    <hyperlink ref="B17" location="UALSummary9" display="UAL Summary" xr:uid="{999558F2-486C-48F0-B175-ACDB7677CFBD}"/>
    <hyperlink ref="B18" location="FundedRatio10" display="Funded Ratio" xr:uid="{977F6AB1-7EA2-4362-BC2E-B1B6B7E0526F}"/>
    <hyperlink ref="B19" location="FundedRatio1_11" display="Funded Ratio1" xr:uid="{94CE9BB4-F7BB-4E76-8662-3D533CE53689}"/>
    <hyperlink ref="B20" location="Funded_Ratio_Discount_Rate12" display="Funded Ratio Discount Rate" xr:uid="{F01A3E45-613D-4D71-9ADA-4B7887EE8257}"/>
    <hyperlink ref="B21" location="LVR_13" display="Liability Volatility Ratio" xr:uid="{44A330DF-5C9C-443D-BA13-EAE3033D7081}"/>
    <hyperlink ref="B22" location="SR_14" display="Support Ratio" xr:uid="{74284784-F57F-4EBB-BC7A-0B0236C039EB}"/>
    <hyperlink ref="B23" location="CV_15" display="Contribution Volatility" xr:uid="{0661E71F-3A1A-47ED-B393-988242E39B98}"/>
    <hyperlink ref="B24" location="Amort2026" display="Amort 2026 Classic Safety" xr:uid="{D53F84C4-1748-46B8-8F8E-A1706B245DE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Q101"/>
  <sheetViews>
    <sheetView workbookViewId="0">
      <selection activeCell="G3" sqref="G3"/>
    </sheetView>
  </sheetViews>
  <sheetFormatPr defaultRowHeight="15" x14ac:dyDescent="0.25"/>
  <cols>
    <col min="1" max="4" width="15.42578125" customWidth="1"/>
    <col min="6" max="6" width="11.28515625" bestFit="1" customWidth="1"/>
    <col min="7" max="7" width="13.28515625" bestFit="1" customWidth="1"/>
    <col min="8" max="8" width="12.140625" bestFit="1" customWidth="1"/>
    <col min="11" max="11" width="11.28515625" bestFit="1" customWidth="1"/>
    <col min="12" max="12" width="13.28515625" bestFit="1" customWidth="1"/>
    <col min="13" max="13" width="12.140625" bestFit="1" customWidth="1"/>
    <col min="16" max="16" width="11.28515625" bestFit="1" customWidth="1"/>
    <col min="17" max="18" width="12.140625" bestFit="1" customWidth="1"/>
  </cols>
  <sheetData>
    <row r="1" spans="1:17" x14ac:dyDescent="0.25">
      <c r="A1" s="16" t="s">
        <v>36</v>
      </c>
      <c r="B1" s="16" t="s">
        <v>37</v>
      </c>
      <c r="C1" s="16" t="s">
        <v>38</v>
      </c>
      <c r="D1" s="16" t="s">
        <v>0</v>
      </c>
      <c r="F1" s="62" t="s">
        <v>131</v>
      </c>
    </row>
    <row r="2" spans="1:17" x14ac:dyDescent="0.25">
      <c r="A2">
        <v>2026</v>
      </c>
      <c r="B2" s="28">
        <v>61500802</v>
      </c>
      <c r="C2" s="28">
        <v>5496179</v>
      </c>
      <c r="D2" t="s">
        <v>13</v>
      </c>
    </row>
    <row r="3" spans="1:17" x14ac:dyDescent="0.25">
      <c r="A3">
        <v>2027</v>
      </c>
      <c r="B3" s="28">
        <v>60002882</v>
      </c>
      <c r="C3" s="28">
        <v>5838815</v>
      </c>
      <c r="D3" t="s">
        <v>13</v>
      </c>
    </row>
    <row r="4" spans="1:17" x14ac:dyDescent="0.25">
      <c r="A4">
        <v>2028</v>
      </c>
      <c r="B4" s="28">
        <v>58049007</v>
      </c>
      <c r="C4" s="28">
        <v>6127277</v>
      </c>
      <c r="D4" t="s">
        <v>13</v>
      </c>
    </row>
    <row r="5" spans="1:17" x14ac:dyDescent="0.25">
      <c r="A5">
        <v>2029</v>
      </c>
      <c r="B5" s="28">
        <v>55664161</v>
      </c>
      <c r="C5" s="28">
        <v>6701368</v>
      </c>
      <c r="D5" t="s">
        <v>13</v>
      </c>
    </row>
    <row r="6" spans="1:17" x14ac:dyDescent="0.25">
      <c r="A6">
        <v>2030</v>
      </c>
      <c r="B6" s="28">
        <v>52523858</v>
      </c>
      <c r="C6" s="28">
        <v>6857769</v>
      </c>
      <c r="D6" t="s">
        <v>13</v>
      </c>
    </row>
    <row r="7" spans="1:17" x14ac:dyDescent="0.25">
      <c r="A7">
        <v>2031</v>
      </c>
      <c r="B7" s="28">
        <v>49008381</v>
      </c>
      <c r="C7" s="28">
        <v>7000141</v>
      </c>
      <c r="D7" t="s">
        <v>13</v>
      </c>
      <c r="F7" s="37" t="s">
        <v>36</v>
      </c>
      <c r="G7" t="s">
        <v>84</v>
      </c>
      <c r="H7" t="s">
        <v>85</v>
      </c>
      <c r="K7" s="37" t="s">
        <v>36</v>
      </c>
      <c r="L7" t="s">
        <v>84</v>
      </c>
      <c r="P7" s="37" t="s">
        <v>36</v>
      </c>
      <c r="Q7" t="s">
        <v>1</v>
      </c>
    </row>
    <row r="8" spans="1:17" x14ac:dyDescent="0.25">
      <c r="A8">
        <v>2032</v>
      </c>
      <c r="B8" s="28">
        <v>45106718</v>
      </c>
      <c r="C8" s="28">
        <v>7146499</v>
      </c>
      <c r="D8" t="s">
        <v>13</v>
      </c>
      <c r="F8">
        <v>2026</v>
      </c>
      <c r="G8" s="38">
        <v>5496179</v>
      </c>
      <c r="H8" s="28">
        <v>61500802</v>
      </c>
      <c r="K8">
        <v>2026</v>
      </c>
      <c r="L8" s="38">
        <v>5496179</v>
      </c>
      <c r="P8">
        <v>2026</v>
      </c>
      <c r="Q8" s="28">
        <v>61500802</v>
      </c>
    </row>
    <row r="9" spans="1:17" x14ac:dyDescent="0.25">
      <c r="A9">
        <v>2033</v>
      </c>
      <c r="B9" s="28">
        <v>40788491</v>
      </c>
      <c r="C9" s="28">
        <v>7117124</v>
      </c>
      <c r="D9" t="s">
        <v>13</v>
      </c>
      <c r="F9">
        <v>2027</v>
      </c>
      <c r="G9" s="38">
        <v>5838815</v>
      </c>
      <c r="H9" s="28">
        <v>60002882</v>
      </c>
      <c r="K9">
        <v>2027</v>
      </c>
      <c r="L9" s="38">
        <v>5838815</v>
      </c>
      <c r="P9">
        <v>2027</v>
      </c>
      <c r="Q9" s="28">
        <v>60002882</v>
      </c>
    </row>
    <row r="10" spans="1:17" x14ac:dyDescent="0.25">
      <c r="A10">
        <v>2034</v>
      </c>
      <c r="B10" s="28">
        <v>36206981</v>
      </c>
      <c r="C10" s="28">
        <v>7081893</v>
      </c>
      <c r="D10" t="s">
        <v>13</v>
      </c>
      <c r="F10">
        <v>2028</v>
      </c>
      <c r="G10" s="38">
        <v>6127277</v>
      </c>
      <c r="H10" s="28">
        <v>58049007</v>
      </c>
      <c r="K10">
        <v>2028</v>
      </c>
      <c r="L10" s="38">
        <v>6127277</v>
      </c>
      <c r="P10">
        <v>2028</v>
      </c>
      <c r="Q10" s="28">
        <v>58049007</v>
      </c>
    </row>
    <row r="11" spans="1:17" x14ac:dyDescent="0.25">
      <c r="A11">
        <v>2035</v>
      </c>
      <c r="B11" s="28">
        <v>31350339</v>
      </c>
      <c r="C11" s="28">
        <v>6976205</v>
      </c>
      <c r="D11" t="s">
        <v>13</v>
      </c>
      <c r="F11">
        <v>2029</v>
      </c>
      <c r="G11" s="38">
        <v>6701368</v>
      </c>
      <c r="H11" s="28">
        <v>55664161</v>
      </c>
      <c r="K11">
        <v>2029</v>
      </c>
      <c r="L11" s="38">
        <v>6701368</v>
      </c>
      <c r="P11">
        <v>2029</v>
      </c>
      <c r="Q11" s="28">
        <v>55664161</v>
      </c>
    </row>
    <row r="12" spans="1:17" x14ac:dyDescent="0.25">
      <c r="A12">
        <v>2036</v>
      </c>
      <c r="B12" s="28">
        <v>26272665</v>
      </c>
      <c r="C12" s="28">
        <v>5728517</v>
      </c>
      <c r="D12" t="s">
        <v>13</v>
      </c>
      <c r="F12">
        <v>2030</v>
      </c>
      <c r="G12" s="38">
        <v>6857769</v>
      </c>
      <c r="H12" s="28">
        <v>52523858</v>
      </c>
      <c r="K12">
        <v>2030</v>
      </c>
      <c r="L12" s="38">
        <v>6857769</v>
      </c>
      <c r="P12">
        <v>2030</v>
      </c>
      <c r="Q12" s="28">
        <v>52523858</v>
      </c>
    </row>
    <row r="13" spans="1:17" x14ac:dyDescent="0.25">
      <c r="A13">
        <v>2037</v>
      </c>
      <c r="B13" s="28">
        <v>22139120</v>
      </c>
      <c r="C13" s="28">
        <v>5325122</v>
      </c>
      <c r="D13" t="s">
        <v>13</v>
      </c>
      <c r="F13">
        <v>2031</v>
      </c>
      <c r="G13" s="38">
        <v>7000141</v>
      </c>
      <c r="H13" s="28">
        <v>49008381</v>
      </c>
      <c r="K13">
        <v>2031</v>
      </c>
      <c r="L13" s="38">
        <v>7000141</v>
      </c>
      <c r="P13">
        <v>2031</v>
      </c>
      <c r="Q13" s="28">
        <v>49008381</v>
      </c>
    </row>
    <row r="14" spans="1:17" x14ac:dyDescent="0.25">
      <c r="A14">
        <v>2038</v>
      </c>
      <c r="B14" s="28">
        <v>18141382</v>
      </c>
      <c r="C14" s="28">
        <v>3714932</v>
      </c>
      <c r="D14" t="s">
        <v>13</v>
      </c>
      <c r="F14">
        <v>2032</v>
      </c>
      <c r="G14" s="38">
        <v>7146499</v>
      </c>
      <c r="H14" s="28">
        <v>45106718</v>
      </c>
      <c r="K14">
        <v>2032</v>
      </c>
      <c r="L14" s="38">
        <v>7146499</v>
      </c>
      <c r="P14">
        <v>2032</v>
      </c>
      <c r="Q14" s="28">
        <v>45106718</v>
      </c>
    </row>
    <row r="15" spans="1:17" x14ac:dyDescent="0.25">
      <c r="A15">
        <v>2039</v>
      </c>
      <c r="B15" s="28">
        <v>15535836</v>
      </c>
      <c r="C15" s="28">
        <v>3438206</v>
      </c>
      <c r="D15" t="s">
        <v>13</v>
      </c>
      <c r="F15">
        <v>2033</v>
      </c>
      <c r="G15" s="38">
        <v>7117124</v>
      </c>
      <c r="H15" s="28">
        <v>40788491</v>
      </c>
      <c r="K15">
        <v>2033</v>
      </c>
      <c r="L15" s="38">
        <v>7117124</v>
      </c>
      <c r="P15">
        <v>2033</v>
      </c>
      <c r="Q15" s="28">
        <v>40788491</v>
      </c>
    </row>
    <row r="16" spans="1:17" x14ac:dyDescent="0.25">
      <c r="A16">
        <v>2040</v>
      </c>
      <c r="B16" s="28">
        <v>13039093</v>
      </c>
      <c r="C16" s="28">
        <v>3218279</v>
      </c>
      <c r="D16" t="s">
        <v>13</v>
      </c>
      <c r="F16">
        <v>2034</v>
      </c>
      <c r="G16" s="38">
        <v>7081893</v>
      </c>
      <c r="H16" s="28">
        <v>36206981</v>
      </c>
      <c r="K16">
        <v>2034</v>
      </c>
      <c r="L16" s="38">
        <v>7081893</v>
      </c>
      <c r="P16">
        <v>2034</v>
      </c>
      <c r="Q16" s="28">
        <v>36206981</v>
      </c>
    </row>
    <row r="17" spans="1:17" x14ac:dyDescent="0.25">
      <c r="A17">
        <v>2041</v>
      </c>
      <c r="B17" s="28">
        <v>10599853</v>
      </c>
      <c r="C17" s="28">
        <v>3081453</v>
      </c>
      <c r="D17" t="s">
        <v>13</v>
      </c>
      <c r="F17">
        <v>2035</v>
      </c>
      <c r="G17" s="38">
        <v>6976205</v>
      </c>
      <c r="H17" s="28">
        <v>31350339</v>
      </c>
      <c r="K17">
        <v>2035</v>
      </c>
      <c r="L17" s="38">
        <v>6976205</v>
      </c>
      <c r="P17">
        <v>2035</v>
      </c>
      <c r="Q17" s="28">
        <v>31350339</v>
      </c>
    </row>
    <row r="18" spans="1:17" x14ac:dyDescent="0.25">
      <c r="A18">
        <v>2042</v>
      </c>
      <c r="B18" s="28">
        <v>8136144</v>
      </c>
      <c r="C18" s="28">
        <v>2678295</v>
      </c>
      <c r="D18" t="s">
        <v>13</v>
      </c>
      <c r="F18">
        <v>2036</v>
      </c>
      <c r="G18" s="38">
        <v>5728517</v>
      </c>
      <c r="H18" s="28">
        <v>26272665</v>
      </c>
      <c r="K18">
        <v>2036</v>
      </c>
      <c r="L18" s="38">
        <v>5728517</v>
      </c>
      <c r="P18">
        <v>2036</v>
      </c>
      <c r="Q18" s="28">
        <v>26272665</v>
      </c>
    </row>
    <row r="19" spans="1:17" x14ac:dyDescent="0.25">
      <c r="A19">
        <v>2043</v>
      </c>
      <c r="B19" s="28">
        <v>5921542</v>
      </c>
      <c r="C19" s="28">
        <v>2276413</v>
      </c>
      <c r="D19" t="s">
        <v>13</v>
      </c>
      <c r="F19">
        <v>2037</v>
      </c>
      <c r="G19" s="38">
        <v>5325122</v>
      </c>
      <c r="H19" s="28">
        <v>22139120</v>
      </c>
      <c r="K19">
        <v>2037</v>
      </c>
      <c r="L19" s="38">
        <v>5325122</v>
      </c>
      <c r="P19">
        <v>2037</v>
      </c>
      <c r="Q19" s="28">
        <v>22139120</v>
      </c>
    </row>
    <row r="20" spans="1:17" x14ac:dyDescent="0.25">
      <c r="A20">
        <v>2044</v>
      </c>
      <c r="B20" s="28">
        <v>3971670</v>
      </c>
      <c r="C20" s="28">
        <v>3435801</v>
      </c>
      <c r="D20" t="s">
        <v>13</v>
      </c>
      <c r="F20">
        <v>2038</v>
      </c>
      <c r="G20" s="38">
        <v>3714932</v>
      </c>
      <c r="H20" s="28">
        <v>18141382</v>
      </c>
      <c r="K20">
        <v>2038</v>
      </c>
      <c r="L20" s="38">
        <v>3714932</v>
      </c>
      <c r="P20">
        <v>2038</v>
      </c>
      <c r="Q20" s="28">
        <v>18141382</v>
      </c>
    </row>
    <row r="21" spans="1:17" x14ac:dyDescent="0.25">
      <c r="A21">
        <v>2045</v>
      </c>
      <c r="B21" s="28">
        <v>691044</v>
      </c>
      <c r="C21" s="28">
        <v>699755</v>
      </c>
      <c r="D21" t="s">
        <v>13</v>
      </c>
      <c r="F21">
        <v>2039</v>
      </c>
      <c r="G21" s="38">
        <v>3438206</v>
      </c>
      <c r="H21" s="28">
        <v>15535836</v>
      </c>
      <c r="K21">
        <v>2039</v>
      </c>
      <c r="L21" s="38">
        <v>3438206</v>
      </c>
      <c r="P21">
        <v>2039</v>
      </c>
      <c r="Q21" s="28">
        <v>15535836</v>
      </c>
    </row>
    <row r="22" spans="1:17" x14ac:dyDescent="0.25">
      <c r="A22">
        <v>2046</v>
      </c>
      <c r="B22" s="28">
        <v>14881</v>
      </c>
      <c r="C22" s="28">
        <v>15379</v>
      </c>
      <c r="D22" t="s">
        <v>13</v>
      </c>
      <c r="F22">
        <v>2040</v>
      </c>
      <c r="G22" s="38">
        <v>3218279</v>
      </c>
      <c r="H22" s="28">
        <v>13039093</v>
      </c>
      <c r="K22">
        <v>2040</v>
      </c>
      <c r="L22" s="38">
        <v>3218279</v>
      </c>
      <c r="P22">
        <v>2040</v>
      </c>
      <c r="Q22" s="28">
        <v>13039093</v>
      </c>
    </row>
    <row r="23" spans="1:17" x14ac:dyDescent="0.25">
      <c r="A23">
        <v>2026</v>
      </c>
      <c r="B23" s="28">
        <v>24585563</v>
      </c>
      <c r="C23" s="28">
        <v>2430053</v>
      </c>
      <c r="D23" t="s">
        <v>23</v>
      </c>
      <c r="F23">
        <v>2041</v>
      </c>
      <c r="G23" s="38">
        <v>3081453</v>
      </c>
      <c r="H23" s="28">
        <v>10599853</v>
      </c>
      <c r="K23">
        <v>2041</v>
      </c>
      <c r="L23" s="38">
        <v>3081453</v>
      </c>
      <c r="P23">
        <v>2041</v>
      </c>
      <c r="Q23" s="28">
        <v>10599853</v>
      </c>
    </row>
    <row r="24" spans="1:17" x14ac:dyDescent="0.25">
      <c r="A24">
        <v>2027</v>
      </c>
      <c r="B24" s="28">
        <v>23746065</v>
      </c>
      <c r="C24" s="28">
        <v>2572192</v>
      </c>
      <c r="D24" t="s">
        <v>23</v>
      </c>
      <c r="F24">
        <v>2042</v>
      </c>
      <c r="G24" s="38">
        <v>2678295</v>
      </c>
      <c r="H24" s="28">
        <v>8136144</v>
      </c>
      <c r="K24">
        <v>2042</v>
      </c>
      <c r="L24" s="38">
        <v>2678295</v>
      </c>
      <c r="P24">
        <v>2042</v>
      </c>
      <c r="Q24" s="28">
        <v>8136144</v>
      </c>
    </row>
    <row r="25" spans="1:17" x14ac:dyDescent="0.25">
      <c r="A25">
        <v>2028</v>
      </c>
      <c r="B25" s="28">
        <v>22702590</v>
      </c>
      <c r="C25" s="28">
        <v>2691885</v>
      </c>
      <c r="D25" t="s">
        <v>23</v>
      </c>
      <c r="F25">
        <v>2043</v>
      </c>
      <c r="G25" s="38">
        <v>2276413</v>
      </c>
      <c r="H25" s="28">
        <v>5921542</v>
      </c>
      <c r="K25">
        <v>2043</v>
      </c>
      <c r="L25" s="38">
        <v>2276413</v>
      </c>
      <c r="P25">
        <v>2043</v>
      </c>
      <c r="Q25" s="28">
        <v>5921542</v>
      </c>
    </row>
    <row r="26" spans="1:17" x14ac:dyDescent="0.25">
      <c r="A26">
        <v>2029</v>
      </c>
      <c r="B26" s="28">
        <v>21464462</v>
      </c>
      <c r="C26" s="28">
        <v>2928664</v>
      </c>
      <c r="D26" t="s">
        <v>23</v>
      </c>
      <c r="F26">
        <v>2044</v>
      </c>
      <c r="G26" s="38">
        <v>3435801</v>
      </c>
      <c r="H26" s="28">
        <v>3971670</v>
      </c>
      <c r="K26">
        <v>2044</v>
      </c>
      <c r="L26" s="38">
        <v>3435801</v>
      </c>
      <c r="P26">
        <v>2044</v>
      </c>
      <c r="Q26" s="28">
        <v>3971670</v>
      </c>
    </row>
    <row r="27" spans="1:17" x14ac:dyDescent="0.25">
      <c r="A27">
        <v>2030</v>
      </c>
      <c r="B27" s="28">
        <v>19897442</v>
      </c>
      <c r="C27" s="28">
        <v>2998492</v>
      </c>
      <c r="D27" t="s">
        <v>23</v>
      </c>
      <c r="F27">
        <v>2045</v>
      </c>
      <c r="G27" s="38">
        <v>699755</v>
      </c>
      <c r="H27" s="28">
        <v>691044</v>
      </c>
      <c r="K27">
        <v>2045</v>
      </c>
      <c r="L27" s="38">
        <v>699755</v>
      </c>
      <c r="P27">
        <v>2045</v>
      </c>
      <c r="Q27" s="28">
        <v>691044</v>
      </c>
    </row>
    <row r="28" spans="1:17" x14ac:dyDescent="0.25">
      <c r="A28">
        <v>2031</v>
      </c>
      <c r="B28" s="28">
        <v>18151704</v>
      </c>
      <c r="C28" s="28">
        <v>3062914</v>
      </c>
      <c r="D28" t="s">
        <v>23</v>
      </c>
      <c r="F28">
        <v>2046</v>
      </c>
      <c r="G28" s="38">
        <v>15379</v>
      </c>
      <c r="H28" s="28">
        <v>14881</v>
      </c>
      <c r="K28">
        <v>2046</v>
      </c>
      <c r="L28" s="38">
        <v>15379</v>
      </c>
      <c r="P28">
        <v>2046</v>
      </c>
      <c r="Q28" s="28">
        <v>14881</v>
      </c>
    </row>
    <row r="29" spans="1:17" x14ac:dyDescent="0.25">
      <c r="A29">
        <v>2032</v>
      </c>
      <c r="B29" s="28">
        <v>16220680</v>
      </c>
      <c r="C29" s="28">
        <v>2588662</v>
      </c>
      <c r="D29" t="s">
        <v>23</v>
      </c>
      <c r="F29" t="s">
        <v>83</v>
      </c>
      <c r="G29" s="28">
        <v>99955422</v>
      </c>
      <c r="H29" s="28">
        <v>614664850</v>
      </c>
      <c r="K29" t="s">
        <v>83</v>
      </c>
      <c r="L29" s="28">
        <v>99955422</v>
      </c>
      <c r="P29" t="s">
        <v>83</v>
      </c>
      <c r="Q29" s="28">
        <v>614664850</v>
      </c>
    </row>
    <row r="30" spans="1:17" x14ac:dyDescent="0.25">
      <c r="A30">
        <v>2033</v>
      </c>
      <c r="B30" s="28">
        <v>14648455</v>
      </c>
      <c r="C30" s="28">
        <v>2572006</v>
      </c>
      <c r="D30" t="s">
        <v>23</v>
      </c>
    </row>
    <row r="31" spans="1:17" x14ac:dyDescent="0.25">
      <c r="A31">
        <v>2034</v>
      </c>
      <c r="B31" s="28">
        <v>12986535</v>
      </c>
      <c r="C31" s="28">
        <v>2552934</v>
      </c>
      <c r="D31" t="s">
        <v>23</v>
      </c>
    </row>
    <row r="32" spans="1:17" x14ac:dyDescent="0.25">
      <c r="A32">
        <v>2035</v>
      </c>
      <c r="B32" s="28">
        <v>11231314</v>
      </c>
      <c r="C32" s="28">
        <v>2505213</v>
      </c>
      <c r="D32" t="s">
        <v>23</v>
      </c>
    </row>
    <row r="33" spans="1:4" x14ac:dyDescent="0.25">
      <c r="A33">
        <v>2036</v>
      </c>
      <c r="B33" s="28">
        <v>9406054</v>
      </c>
      <c r="C33" s="28">
        <v>2321639</v>
      </c>
      <c r="D33" t="s">
        <v>23</v>
      </c>
    </row>
    <row r="34" spans="1:4" x14ac:dyDescent="0.25">
      <c r="A34">
        <v>2037</v>
      </c>
      <c r="B34" s="28">
        <v>7646390</v>
      </c>
      <c r="C34" s="28">
        <v>1478800</v>
      </c>
      <c r="D34" t="s">
        <v>23</v>
      </c>
    </row>
    <row r="35" spans="1:4" x14ac:dyDescent="0.25">
      <c r="A35">
        <v>2038</v>
      </c>
      <c r="B35" s="28">
        <v>6638092</v>
      </c>
      <c r="C35" s="28">
        <v>1373728</v>
      </c>
      <c r="D35" t="s">
        <v>23</v>
      </c>
    </row>
    <row r="36" spans="1:4" x14ac:dyDescent="0.25">
      <c r="A36">
        <v>2039</v>
      </c>
      <c r="B36" s="28">
        <v>5669815</v>
      </c>
      <c r="C36" s="28">
        <v>1262153</v>
      </c>
      <c r="D36" t="s">
        <v>23</v>
      </c>
    </row>
    <row r="37" spans="1:4" x14ac:dyDescent="0.25">
      <c r="A37">
        <v>2040</v>
      </c>
      <c r="B37" s="28">
        <v>4751003</v>
      </c>
      <c r="C37" s="28">
        <v>1173784</v>
      </c>
      <c r="D37" t="s">
        <v>23</v>
      </c>
    </row>
    <row r="38" spans="1:4" x14ac:dyDescent="0.25">
      <c r="A38">
        <v>2041</v>
      </c>
      <c r="B38" s="28">
        <v>3861036</v>
      </c>
      <c r="C38" s="28">
        <v>1114930</v>
      </c>
      <c r="D38" t="s">
        <v>23</v>
      </c>
    </row>
    <row r="39" spans="1:4" x14ac:dyDescent="0.25">
      <c r="A39">
        <v>2042</v>
      </c>
      <c r="B39" s="28">
        <v>2971373</v>
      </c>
      <c r="C39" s="28">
        <v>966732</v>
      </c>
      <c r="D39" t="s">
        <v>23</v>
      </c>
    </row>
    <row r="40" spans="1:4" x14ac:dyDescent="0.25">
      <c r="A40">
        <v>2043</v>
      </c>
      <c r="B40" s="28">
        <v>2174366</v>
      </c>
      <c r="C40" s="28">
        <v>811646</v>
      </c>
      <c r="D40" t="s">
        <v>23</v>
      </c>
    </row>
    <row r="41" spans="1:4" x14ac:dyDescent="0.25">
      <c r="A41">
        <v>2044</v>
      </c>
      <c r="B41" s="28">
        <v>1483433</v>
      </c>
      <c r="C41" s="28">
        <v>1324722</v>
      </c>
      <c r="D41" t="s">
        <v>23</v>
      </c>
    </row>
    <row r="42" spans="1:4" x14ac:dyDescent="0.25">
      <c r="A42">
        <v>2045</v>
      </c>
      <c r="B42" s="28">
        <v>215283</v>
      </c>
      <c r="C42" s="28">
        <v>222482</v>
      </c>
      <c r="D42" t="s">
        <v>23</v>
      </c>
    </row>
    <row r="43" spans="1:4" x14ac:dyDescent="0.25">
      <c r="A43">
        <v>2026</v>
      </c>
      <c r="B43" s="28">
        <v>338865</v>
      </c>
      <c r="C43" s="28">
        <v>22609</v>
      </c>
      <c r="D43" t="s">
        <v>39</v>
      </c>
    </row>
    <row r="44" spans="1:4" x14ac:dyDescent="0.25">
      <c r="A44">
        <v>2027</v>
      </c>
      <c r="B44" s="28">
        <v>338542</v>
      </c>
      <c r="C44" s="28">
        <v>28021</v>
      </c>
      <c r="D44" t="s">
        <v>39</v>
      </c>
    </row>
    <row r="45" spans="1:4" x14ac:dyDescent="0.25">
      <c r="A45">
        <v>2028</v>
      </c>
      <c r="B45" s="28">
        <v>332604</v>
      </c>
      <c r="C45" s="28">
        <v>33435</v>
      </c>
      <c r="D45" t="s">
        <v>39</v>
      </c>
    </row>
    <row r="46" spans="1:4" x14ac:dyDescent="0.25">
      <c r="A46">
        <v>2029</v>
      </c>
      <c r="B46" s="28">
        <v>320667</v>
      </c>
      <c r="C46" s="28">
        <v>32004</v>
      </c>
      <c r="D46" t="s">
        <v>39</v>
      </c>
    </row>
    <row r="47" spans="1:4" x14ac:dyDescent="0.25">
      <c r="A47">
        <v>2030</v>
      </c>
      <c r="B47" s="28">
        <v>309398</v>
      </c>
      <c r="C47" s="28">
        <v>32293</v>
      </c>
      <c r="D47" t="s">
        <v>39</v>
      </c>
    </row>
    <row r="48" spans="1:4" x14ac:dyDescent="0.25">
      <c r="A48">
        <v>2031</v>
      </c>
      <c r="B48" s="28">
        <v>297065</v>
      </c>
      <c r="C48" s="28">
        <v>32294</v>
      </c>
      <c r="D48" t="s">
        <v>39</v>
      </c>
    </row>
    <row r="49" spans="1:4" x14ac:dyDescent="0.25">
      <c r="A49">
        <v>2032</v>
      </c>
      <c r="B49" s="28">
        <v>283891</v>
      </c>
      <c r="C49" s="28">
        <v>32294</v>
      </c>
      <c r="D49" t="s">
        <v>39</v>
      </c>
    </row>
    <row r="50" spans="1:4" x14ac:dyDescent="0.25">
      <c r="A50">
        <v>2033</v>
      </c>
      <c r="B50" s="28">
        <v>269821</v>
      </c>
      <c r="C50" s="28">
        <v>32294</v>
      </c>
      <c r="D50" t="s">
        <v>39</v>
      </c>
    </row>
    <row r="51" spans="1:4" x14ac:dyDescent="0.25">
      <c r="A51">
        <v>2034</v>
      </c>
      <c r="B51" s="28">
        <v>254796</v>
      </c>
      <c r="C51" s="28">
        <v>32295</v>
      </c>
      <c r="D51" t="s">
        <v>39</v>
      </c>
    </row>
    <row r="52" spans="1:4" x14ac:dyDescent="0.25">
      <c r="A52">
        <v>2035</v>
      </c>
      <c r="B52" s="28">
        <v>238746</v>
      </c>
      <c r="C52" s="28">
        <v>32293</v>
      </c>
      <c r="D52" t="s">
        <v>39</v>
      </c>
    </row>
    <row r="53" spans="1:4" x14ac:dyDescent="0.25">
      <c r="A53">
        <v>2036</v>
      </c>
      <c r="B53" s="28">
        <v>221607</v>
      </c>
      <c r="C53" s="28">
        <v>32293</v>
      </c>
      <c r="D53" t="s">
        <v>39</v>
      </c>
    </row>
    <row r="54" spans="1:4" x14ac:dyDescent="0.25">
      <c r="A54">
        <v>2037</v>
      </c>
      <c r="B54" s="28">
        <v>203304</v>
      </c>
      <c r="C54" s="28">
        <v>32295</v>
      </c>
      <c r="D54" t="s">
        <v>39</v>
      </c>
    </row>
    <row r="55" spans="1:4" x14ac:dyDescent="0.25">
      <c r="A55">
        <v>2038</v>
      </c>
      <c r="B55" s="28">
        <v>183754</v>
      </c>
      <c r="C55" s="28">
        <v>32295</v>
      </c>
      <c r="D55" t="s">
        <v>39</v>
      </c>
    </row>
    <row r="56" spans="1:4" x14ac:dyDescent="0.25">
      <c r="A56">
        <v>2039</v>
      </c>
      <c r="B56" s="28">
        <v>162875</v>
      </c>
      <c r="C56" s="28">
        <v>32295</v>
      </c>
      <c r="D56" t="s">
        <v>39</v>
      </c>
    </row>
    <row r="57" spans="1:4" x14ac:dyDescent="0.25">
      <c r="A57">
        <v>2040</v>
      </c>
      <c r="B57" s="28">
        <v>140575</v>
      </c>
      <c r="C57" s="28">
        <v>32295</v>
      </c>
      <c r="D57" t="s">
        <v>39</v>
      </c>
    </row>
    <row r="58" spans="1:4" x14ac:dyDescent="0.25">
      <c r="A58">
        <v>2041</v>
      </c>
      <c r="B58" s="28">
        <v>116759</v>
      </c>
      <c r="C58" s="28">
        <v>32294</v>
      </c>
      <c r="D58" t="s">
        <v>39</v>
      </c>
    </row>
    <row r="59" spans="1:4" x14ac:dyDescent="0.25">
      <c r="A59">
        <v>2042</v>
      </c>
      <c r="B59" s="28">
        <v>91324</v>
      </c>
      <c r="C59" s="28">
        <v>32296</v>
      </c>
      <c r="D59" t="s">
        <v>39</v>
      </c>
    </row>
    <row r="60" spans="1:4" x14ac:dyDescent="0.25">
      <c r="A60">
        <v>2043</v>
      </c>
      <c r="B60" s="28">
        <v>64157</v>
      </c>
      <c r="C60" s="28">
        <v>32293</v>
      </c>
      <c r="D60" t="s">
        <v>39</v>
      </c>
    </row>
    <row r="61" spans="1:4" x14ac:dyDescent="0.25">
      <c r="A61">
        <v>2044</v>
      </c>
      <c r="B61" s="28">
        <v>35146</v>
      </c>
      <c r="C61" s="28">
        <v>32295</v>
      </c>
      <c r="D61" t="s">
        <v>39</v>
      </c>
    </row>
    <row r="62" spans="1:4" x14ac:dyDescent="0.25">
      <c r="A62">
        <v>2026</v>
      </c>
      <c r="B62" s="28">
        <v>726554</v>
      </c>
      <c r="C62" s="28">
        <v>50642</v>
      </c>
      <c r="D62" t="s">
        <v>40</v>
      </c>
    </row>
    <row r="63" spans="1:4" x14ac:dyDescent="0.25">
      <c r="A63">
        <v>2027</v>
      </c>
      <c r="B63" s="28">
        <v>723623</v>
      </c>
      <c r="C63" s="28">
        <v>62054</v>
      </c>
      <c r="D63" t="s">
        <v>40</v>
      </c>
    </row>
    <row r="64" spans="1:4" x14ac:dyDescent="0.25">
      <c r="A64">
        <v>2028</v>
      </c>
      <c r="B64" s="28">
        <v>708700</v>
      </c>
      <c r="C64" s="28">
        <v>73465</v>
      </c>
      <c r="D64" t="s">
        <v>40</v>
      </c>
    </row>
    <row r="65" spans="1:4" x14ac:dyDescent="0.25">
      <c r="A65">
        <v>2029</v>
      </c>
      <c r="B65" s="28">
        <v>680971</v>
      </c>
      <c r="C65" s="28">
        <v>67901</v>
      </c>
      <c r="D65" t="s">
        <v>40</v>
      </c>
    </row>
    <row r="66" spans="1:4" x14ac:dyDescent="0.25">
      <c r="A66">
        <v>2030</v>
      </c>
      <c r="B66" s="28">
        <v>657106</v>
      </c>
      <c r="C66" s="28">
        <v>68563</v>
      </c>
      <c r="D66" t="s">
        <v>40</v>
      </c>
    </row>
    <row r="67" spans="1:4" x14ac:dyDescent="0.25">
      <c r="A67">
        <v>2031</v>
      </c>
      <c r="B67" s="28">
        <v>630933</v>
      </c>
      <c r="C67" s="28">
        <v>68564</v>
      </c>
      <c r="D67" t="s">
        <v>40</v>
      </c>
    </row>
    <row r="68" spans="1:4" x14ac:dyDescent="0.25">
      <c r="A68">
        <v>2032</v>
      </c>
      <c r="B68" s="28">
        <v>602980</v>
      </c>
      <c r="C68" s="28">
        <v>68563</v>
      </c>
      <c r="D68" t="s">
        <v>40</v>
      </c>
    </row>
    <row r="69" spans="1:4" x14ac:dyDescent="0.25">
      <c r="A69">
        <v>2033</v>
      </c>
      <c r="B69" s="28">
        <v>573126</v>
      </c>
      <c r="C69" s="28">
        <v>68562</v>
      </c>
      <c r="D69" t="s">
        <v>40</v>
      </c>
    </row>
    <row r="70" spans="1:4" x14ac:dyDescent="0.25">
      <c r="A70">
        <v>2034</v>
      </c>
      <c r="B70" s="28">
        <v>541245</v>
      </c>
      <c r="C70" s="28">
        <v>68564</v>
      </c>
      <c r="D70" t="s">
        <v>40</v>
      </c>
    </row>
    <row r="71" spans="1:4" x14ac:dyDescent="0.25">
      <c r="A71">
        <v>2035</v>
      </c>
      <c r="B71" s="28">
        <v>507194</v>
      </c>
      <c r="C71" s="28">
        <v>68564</v>
      </c>
      <c r="D71" t="s">
        <v>40</v>
      </c>
    </row>
    <row r="72" spans="1:4" x14ac:dyDescent="0.25">
      <c r="A72">
        <v>2036</v>
      </c>
      <c r="B72" s="28">
        <v>470826</v>
      </c>
      <c r="C72" s="28">
        <v>68562</v>
      </c>
      <c r="D72" t="s">
        <v>40</v>
      </c>
    </row>
    <row r="73" spans="1:4" x14ac:dyDescent="0.25">
      <c r="A73">
        <v>2037</v>
      </c>
      <c r="B73" s="28">
        <v>431988</v>
      </c>
      <c r="C73" s="28">
        <v>68564</v>
      </c>
      <c r="D73" t="s">
        <v>40</v>
      </c>
    </row>
    <row r="74" spans="1:4" x14ac:dyDescent="0.25">
      <c r="A74">
        <v>2038</v>
      </c>
      <c r="B74" s="28">
        <v>390506</v>
      </c>
      <c r="C74" s="28">
        <v>68563</v>
      </c>
      <c r="D74" t="s">
        <v>40</v>
      </c>
    </row>
    <row r="75" spans="1:4" x14ac:dyDescent="0.25">
      <c r="A75">
        <v>2039</v>
      </c>
      <c r="B75" s="28">
        <v>346205</v>
      </c>
      <c r="C75" s="28">
        <v>68563</v>
      </c>
      <c r="D75" t="s">
        <v>40</v>
      </c>
    </row>
    <row r="76" spans="1:4" x14ac:dyDescent="0.25">
      <c r="A76">
        <v>2040</v>
      </c>
      <c r="B76" s="28">
        <v>298890</v>
      </c>
      <c r="C76" s="28">
        <v>68562</v>
      </c>
      <c r="D76" t="s">
        <v>40</v>
      </c>
    </row>
    <row r="77" spans="1:4" x14ac:dyDescent="0.25">
      <c r="A77">
        <v>2041</v>
      </c>
      <c r="B77" s="28">
        <v>248359</v>
      </c>
      <c r="C77" s="28">
        <v>68562</v>
      </c>
      <c r="D77" t="s">
        <v>40</v>
      </c>
    </row>
    <row r="78" spans="1:4" x14ac:dyDescent="0.25">
      <c r="A78">
        <v>2042</v>
      </c>
      <c r="B78" s="28">
        <v>194393</v>
      </c>
      <c r="C78" s="28">
        <v>68562</v>
      </c>
      <c r="D78" t="s">
        <v>40</v>
      </c>
    </row>
    <row r="79" spans="1:4" x14ac:dyDescent="0.25">
      <c r="A79">
        <v>2043</v>
      </c>
      <c r="B79" s="28">
        <v>136756</v>
      </c>
      <c r="C79" s="28">
        <v>68563</v>
      </c>
      <c r="D79" t="s">
        <v>40</v>
      </c>
    </row>
    <row r="80" spans="1:4" x14ac:dyDescent="0.25">
      <c r="A80">
        <v>2044</v>
      </c>
      <c r="B80" s="28">
        <v>75200</v>
      </c>
      <c r="C80" s="28">
        <v>68563</v>
      </c>
      <c r="D80" t="s">
        <v>40</v>
      </c>
    </row>
    <row r="81" spans="1:4" x14ac:dyDescent="0.25">
      <c r="A81">
        <v>2045</v>
      </c>
      <c r="B81" s="28">
        <v>9457</v>
      </c>
      <c r="C81" s="28">
        <v>9773</v>
      </c>
      <c r="D81" t="s">
        <v>40</v>
      </c>
    </row>
    <row r="82" spans="1:4" x14ac:dyDescent="0.25">
      <c r="A82">
        <v>2026</v>
      </c>
      <c r="B82" s="28">
        <v>481675</v>
      </c>
      <c r="C82" s="28">
        <v>24095</v>
      </c>
      <c r="D82" t="s">
        <v>41</v>
      </c>
    </row>
    <row r="83" spans="1:4" x14ac:dyDescent="0.25">
      <c r="A83">
        <v>2027</v>
      </c>
      <c r="B83" s="28">
        <v>489528</v>
      </c>
      <c r="C83" s="28">
        <v>32076</v>
      </c>
      <c r="D83" t="s">
        <v>41</v>
      </c>
    </row>
    <row r="84" spans="1:4" x14ac:dyDescent="0.25">
      <c r="A84">
        <v>2028</v>
      </c>
      <c r="B84" s="28">
        <v>489667</v>
      </c>
      <c r="C84" s="28">
        <v>40057</v>
      </c>
      <c r="D84" t="s">
        <v>41</v>
      </c>
    </row>
    <row r="85" spans="1:4" x14ac:dyDescent="0.25">
      <c r="A85">
        <v>2029</v>
      </c>
      <c r="B85" s="28">
        <v>481568</v>
      </c>
      <c r="C85" s="28">
        <v>48037</v>
      </c>
      <c r="D85" t="s">
        <v>41</v>
      </c>
    </row>
    <row r="86" spans="1:4" x14ac:dyDescent="0.25">
      <c r="A86">
        <v>2030</v>
      </c>
      <c r="B86" s="28">
        <v>464672</v>
      </c>
      <c r="C86" s="28">
        <v>48474</v>
      </c>
      <c r="D86" t="s">
        <v>41</v>
      </c>
    </row>
    <row r="87" spans="1:4" x14ac:dyDescent="0.25">
      <c r="A87">
        <v>2031</v>
      </c>
      <c r="B87" s="28">
        <v>446174</v>
      </c>
      <c r="C87" s="28">
        <v>48473</v>
      </c>
      <c r="D87" t="s">
        <v>41</v>
      </c>
    </row>
    <row r="88" spans="1:4" x14ac:dyDescent="0.25">
      <c r="A88">
        <v>2032</v>
      </c>
      <c r="B88" s="28">
        <v>426420</v>
      </c>
      <c r="C88" s="28">
        <v>48473</v>
      </c>
      <c r="D88" t="s">
        <v>41</v>
      </c>
    </row>
    <row r="89" spans="1:4" x14ac:dyDescent="0.25">
      <c r="A89">
        <v>2033</v>
      </c>
      <c r="B89" s="28">
        <v>405323</v>
      </c>
      <c r="C89" s="28">
        <v>48474</v>
      </c>
      <c r="D89" t="s">
        <v>41</v>
      </c>
    </row>
    <row r="90" spans="1:4" x14ac:dyDescent="0.25">
      <c r="A90">
        <v>2034</v>
      </c>
      <c r="B90" s="28">
        <v>382790</v>
      </c>
      <c r="C90" s="28">
        <v>48473</v>
      </c>
      <c r="D90" t="s">
        <v>41</v>
      </c>
    </row>
    <row r="91" spans="1:4" x14ac:dyDescent="0.25">
      <c r="A91">
        <v>2035</v>
      </c>
      <c r="B91" s="28">
        <v>358727</v>
      </c>
      <c r="C91" s="28">
        <v>48474</v>
      </c>
      <c r="D91" t="s">
        <v>41</v>
      </c>
    </row>
    <row r="92" spans="1:4" x14ac:dyDescent="0.25">
      <c r="A92">
        <v>2036</v>
      </c>
      <c r="B92" s="28">
        <v>333026</v>
      </c>
      <c r="C92" s="28">
        <v>48474</v>
      </c>
      <c r="D92" t="s">
        <v>41</v>
      </c>
    </row>
    <row r="93" spans="1:4" x14ac:dyDescent="0.25">
      <c r="A93">
        <v>2037</v>
      </c>
      <c r="B93" s="28">
        <v>305577</v>
      </c>
      <c r="C93" s="28">
        <v>48474</v>
      </c>
      <c r="D93" t="s">
        <v>41</v>
      </c>
    </row>
    <row r="94" spans="1:4" x14ac:dyDescent="0.25">
      <c r="A94">
        <v>2038</v>
      </c>
      <c r="B94" s="28">
        <v>276261</v>
      </c>
      <c r="C94" s="28">
        <v>48475</v>
      </c>
      <c r="D94" t="s">
        <v>41</v>
      </c>
    </row>
    <row r="95" spans="1:4" x14ac:dyDescent="0.25">
      <c r="A95">
        <v>2039</v>
      </c>
      <c r="B95" s="28">
        <v>244951</v>
      </c>
      <c r="C95" s="28">
        <v>48474</v>
      </c>
      <c r="D95" t="s">
        <v>41</v>
      </c>
    </row>
    <row r="96" spans="1:4" x14ac:dyDescent="0.25">
      <c r="A96">
        <v>2040</v>
      </c>
      <c r="B96" s="28">
        <v>211512</v>
      </c>
      <c r="C96" s="28">
        <v>48473</v>
      </c>
      <c r="D96" t="s">
        <v>41</v>
      </c>
    </row>
    <row r="97" spans="1:4" x14ac:dyDescent="0.25">
      <c r="A97">
        <v>2041</v>
      </c>
      <c r="B97" s="28">
        <v>175802</v>
      </c>
      <c r="C97" s="28">
        <v>48475</v>
      </c>
      <c r="D97" t="s">
        <v>41</v>
      </c>
    </row>
    <row r="98" spans="1:4" x14ac:dyDescent="0.25">
      <c r="A98">
        <v>2042</v>
      </c>
      <c r="B98" s="28">
        <v>137660</v>
      </c>
      <c r="C98" s="28">
        <v>48473</v>
      </c>
      <c r="D98" t="s">
        <v>41</v>
      </c>
    </row>
    <row r="99" spans="1:4" x14ac:dyDescent="0.25">
      <c r="A99">
        <v>2043</v>
      </c>
      <c r="B99" s="28">
        <v>96927</v>
      </c>
      <c r="C99" s="28">
        <v>48473</v>
      </c>
      <c r="D99" t="s">
        <v>41</v>
      </c>
    </row>
    <row r="100" spans="1:4" x14ac:dyDescent="0.25">
      <c r="A100">
        <v>2044</v>
      </c>
      <c r="B100" s="28">
        <v>53425</v>
      </c>
      <c r="C100" s="28">
        <v>48475</v>
      </c>
      <c r="D100" t="s">
        <v>41</v>
      </c>
    </row>
    <row r="101" spans="1:4" x14ac:dyDescent="0.25">
      <c r="A101">
        <v>2045</v>
      </c>
      <c r="B101" s="28">
        <v>6962</v>
      </c>
      <c r="C101" s="28">
        <v>7195</v>
      </c>
      <c r="D101" t="s">
        <v>41</v>
      </c>
    </row>
  </sheetData>
  <conditionalFormatting pivot="1" sqref="G8:G28">
    <cfRule type="colorScale" priority="6">
      <colorScale>
        <cfvo type="min"/>
        <cfvo type="percentile" val="50"/>
        <cfvo type="max"/>
        <color rgb="FF63BE7B"/>
        <color rgb="FFFFEB84"/>
        <color rgb="FFF8696B"/>
      </colorScale>
    </cfRule>
  </conditionalFormatting>
  <conditionalFormatting pivot="1" sqref="H8:H28">
    <cfRule type="colorScale" priority="5">
      <colorScale>
        <cfvo type="min"/>
        <cfvo type="percentile" val="50"/>
        <cfvo type="max"/>
        <color rgb="FF63BE7B"/>
        <color rgb="FFFFEB84"/>
        <color rgb="FFF8696B"/>
      </colorScale>
    </cfRule>
  </conditionalFormatting>
  <conditionalFormatting pivot="1" sqref="L8:L28">
    <cfRule type="colorScale" priority="4">
      <colorScale>
        <cfvo type="min"/>
        <cfvo type="percentile" val="50"/>
        <cfvo type="max"/>
        <color rgb="FF63BE7B"/>
        <color rgb="FFFFEB84"/>
        <color rgb="FFF8696B"/>
      </colorScale>
    </cfRule>
  </conditionalFormatting>
  <conditionalFormatting pivot="1" sqref="Q8:Q28">
    <cfRule type="colorScale" priority="1">
      <colorScale>
        <cfvo type="min"/>
        <cfvo type="percentile" val="50"/>
        <cfvo type="max"/>
        <color rgb="FF63BE7B"/>
        <color rgb="FFFFEB84"/>
        <color rgb="FFF8696B"/>
      </colorScale>
    </cfRule>
  </conditionalFormatting>
  <hyperlinks>
    <hyperlink ref="F1" location="TOC" display="Back to TOC" xr:uid="{7D8E3E8B-9C24-4AED-990E-C299B8D28930}"/>
  </hyperlinks>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F37"/>
  <sheetViews>
    <sheetView workbookViewId="0">
      <selection activeCell="D16" sqref="D16"/>
    </sheetView>
  </sheetViews>
  <sheetFormatPr defaultRowHeight="15" x14ac:dyDescent="0.25"/>
  <cols>
    <col min="1" max="4" width="23.28515625" customWidth="1"/>
    <col min="5" max="5" width="11.28515625" bestFit="1" customWidth="1"/>
    <col min="6" max="6" width="13.28515625" bestFit="1" customWidth="1"/>
  </cols>
  <sheetData>
    <row r="1" spans="1:6" x14ac:dyDescent="0.25">
      <c r="A1" t="s">
        <v>36</v>
      </c>
      <c r="B1" t="s">
        <v>42</v>
      </c>
      <c r="C1" t="s">
        <v>0</v>
      </c>
      <c r="D1" s="62" t="s">
        <v>131</v>
      </c>
    </row>
    <row r="2" spans="1:6" x14ac:dyDescent="0.25">
      <c r="A2">
        <v>2026</v>
      </c>
      <c r="B2" s="28">
        <v>5496179</v>
      </c>
      <c r="C2" t="s">
        <v>13</v>
      </c>
    </row>
    <row r="3" spans="1:6" x14ac:dyDescent="0.25">
      <c r="A3">
        <v>2027</v>
      </c>
      <c r="B3" s="28">
        <v>5839000</v>
      </c>
      <c r="C3" t="s">
        <v>13</v>
      </c>
    </row>
    <row r="4" spans="1:6" x14ac:dyDescent="0.25">
      <c r="A4">
        <v>2028</v>
      </c>
      <c r="B4" s="28">
        <v>6127000</v>
      </c>
      <c r="C4" t="s">
        <v>13</v>
      </c>
    </row>
    <row r="5" spans="1:6" x14ac:dyDescent="0.25">
      <c r="A5">
        <v>2029</v>
      </c>
      <c r="B5" s="28">
        <v>6701000</v>
      </c>
      <c r="C5" t="s">
        <v>13</v>
      </c>
    </row>
    <row r="6" spans="1:6" x14ac:dyDescent="0.25">
      <c r="A6">
        <v>2030</v>
      </c>
      <c r="B6" s="28">
        <v>6858000</v>
      </c>
      <c r="C6" t="s">
        <v>13</v>
      </c>
      <c r="E6" s="37" t="s">
        <v>36</v>
      </c>
      <c r="F6" t="s">
        <v>84</v>
      </c>
    </row>
    <row r="7" spans="1:6" x14ac:dyDescent="0.25">
      <c r="A7">
        <v>2031</v>
      </c>
      <c r="B7" s="28">
        <v>7000000</v>
      </c>
      <c r="C7" t="s">
        <v>13</v>
      </c>
      <c r="E7">
        <v>2026</v>
      </c>
      <c r="F7" s="28">
        <v>8023578</v>
      </c>
    </row>
    <row r="8" spans="1:6" x14ac:dyDescent="0.25">
      <c r="A8">
        <v>2026</v>
      </c>
      <c r="B8" s="28">
        <v>2430053</v>
      </c>
      <c r="C8" t="s">
        <v>74</v>
      </c>
      <c r="E8">
        <v>2027</v>
      </c>
      <c r="F8" s="28">
        <v>8533000</v>
      </c>
    </row>
    <row r="9" spans="1:6" x14ac:dyDescent="0.25">
      <c r="A9">
        <v>2027</v>
      </c>
      <c r="B9" s="28">
        <v>2572000</v>
      </c>
      <c r="C9" t="s">
        <v>74</v>
      </c>
      <c r="E9">
        <v>2028</v>
      </c>
      <c r="F9" s="28">
        <v>8965000</v>
      </c>
    </row>
    <row r="10" spans="1:6" x14ac:dyDescent="0.25">
      <c r="A10">
        <v>2028</v>
      </c>
      <c r="B10" s="28">
        <v>2692000</v>
      </c>
      <c r="C10" t="s">
        <v>74</v>
      </c>
      <c r="E10">
        <v>2029</v>
      </c>
      <c r="F10" s="28">
        <v>9778000</v>
      </c>
    </row>
    <row r="11" spans="1:6" x14ac:dyDescent="0.25">
      <c r="A11">
        <v>2029</v>
      </c>
      <c r="B11" s="28">
        <v>2929000</v>
      </c>
      <c r="C11" t="s">
        <v>74</v>
      </c>
      <c r="E11">
        <v>2030</v>
      </c>
      <c r="F11" s="28">
        <v>10005000</v>
      </c>
    </row>
    <row r="12" spans="1:6" x14ac:dyDescent="0.25">
      <c r="A12">
        <v>2030</v>
      </c>
      <c r="B12" s="28">
        <v>2998000</v>
      </c>
      <c r="C12" t="s">
        <v>74</v>
      </c>
      <c r="E12">
        <v>2031</v>
      </c>
      <c r="F12" s="28">
        <v>10212000</v>
      </c>
    </row>
    <row r="13" spans="1:6" x14ac:dyDescent="0.25">
      <c r="A13">
        <v>2031</v>
      </c>
      <c r="B13" s="28">
        <v>3063000</v>
      </c>
      <c r="C13" t="s">
        <v>74</v>
      </c>
      <c r="E13" t="s">
        <v>83</v>
      </c>
      <c r="F13" s="28">
        <v>55516578</v>
      </c>
    </row>
    <row r="14" spans="1:6" x14ac:dyDescent="0.25">
      <c r="A14">
        <v>2026</v>
      </c>
      <c r="B14" s="28">
        <v>22609</v>
      </c>
      <c r="C14" t="s">
        <v>75</v>
      </c>
    </row>
    <row r="15" spans="1:6" x14ac:dyDescent="0.25">
      <c r="A15">
        <v>2027</v>
      </c>
      <c r="B15" s="28">
        <v>28000</v>
      </c>
      <c r="C15" t="s">
        <v>75</v>
      </c>
    </row>
    <row r="16" spans="1:6" x14ac:dyDescent="0.25">
      <c r="A16">
        <v>2028</v>
      </c>
      <c r="B16" s="28">
        <v>33000</v>
      </c>
      <c r="C16" t="s">
        <v>75</v>
      </c>
    </row>
    <row r="17" spans="1:3" x14ac:dyDescent="0.25">
      <c r="A17">
        <v>2029</v>
      </c>
      <c r="B17" s="28">
        <v>32000</v>
      </c>
      <c r="C17" t="s">
        <v>75</v>
      </c>
    </row>
    <row r="18" spans="1:3" x14ac:dyDescent="0.25">
      <c r="A18">
        <v>2030</v>
      </c>
      <c r="B18" s="28">
        <v>32000</v>
      </c>
      <c r="C18" t="s">
        <v>75</v>
      </c>
    </row>
    <row r="19" spans="1:3" x14ac:dyDescent="0.25">
      <c r="A19">
        <v>2031</v>
      </c>
      <c r="B19" s="28">
        <v>32000</v>
      </c>
      <c r="C19" t="s">
        <v>75</v>
      </c>
    </row>
    <row r="20" spans="1:3" x14ac:dyDescent="0.25">
      <c r="A20">
        <v>2026</v>
      </c>
      <c r="B20" s="28">
        <v>50642</v>
      </c>
      <c r="C20" t="s">
        <v>40</v>
      </c>
    </row>
    <row r="21" spans="1:3" x14ac:dyDescent="0.25">
      <c r="A21">
        <v>2027</v>
      </c>
      <c r="B21" s="28">
        <v>62000</v>
      </c>
      <c r="C21" t="s">
        <v>40</v>
      </c>
    </row>
    <row r="22" spans="1:3" x14ac:dyDescent="0.25">
      <c r="A22">
        <v>2028</v>
      </c>
      <c r="B22" s="28">
        <v>73000</v>
      </c>
      <c r="C22" t="s">
        <v>40</v>
      </c>
    </row>
    <row r="23" spans="1:3" x14ac:dyDescent="0.25">
      <c r="A23">
        <v>2029</v>
      </c>
      <c r="B23" s="28">
        <v>68000</v>
      </c>
      <c r="C23" t="s">
        <v>40</v>
      </c>
    </row>
    <row r="24" spans="1:3" x14ac:dyDescent="0.25">
      <c r="A24">
        <v>2030</v>
      </c>
      <c r="B24" s="28">
        <v>69000</v>
      </c>
      <c r="C24" t="s">
        <v>40</v>
      </c>
    </row>
    <row r="25" spans="1:3" x14ac:dyDescent="0.25">
      <c r="A25">
        <v>2031</v>
      </c>
      <c r="B25" s="28">
        <v>69000</v>
      </c>
      <c r="C25" t="s">
        <v>40</v>
      </c>
    </row>
    <row r="26" spans="1:3" x14ac:dyDescent="0.25">
      <c r="A26">
        <v>2026</v>
      </c>
      <c r="B26" s="28">
        <v>24095</v>
      </c>
      <c r="C26" t="s">
        <v>76</v>
      </c>
    </row>
    <row r="27" spans="1:3" x14ac:dyDescent="0.25">
      <c r="A27">
        <v>2027</v>
      </c>
      <c r="B27" s="28">
        <v>32000</v>
      </c>
      <c r="C27" t="s">
        <v>76</v>
      </c>
    </row>
    <row r="28" spans="1:3" x14ac:dyDescent="0.25">
      <c r="A28">
        <v>2028</v>
      </c>
      <c r="B28" s="28">
        <v>40000</v>
      </c>
      <c r="C28" t="s">
        <v>76</v>
      </c>
    </row>
    <row r="29" spans="1:3" x14ac:dyDescent="0.25">
      <c r="A29">
        <v>2029</v>
      </c>
      <c r="B29" s="28">
        <v>48000</v>
      </c>
      <c r="C29" t="s">
        <v>76</v>
      </c>
    </row>
    <row r="30" spans="1:3" x14ac:dyDescent="0.25">
      <c r="A30">
        <v>2030</v>
      </c>
      <c r="B30" s="28">
        <v>48000</v>
      </c>
      <c r="C30" t="s">
        <v>76</v>
      </c>
    </row>
    <row r="31" spans="1:3" x14ac:dyDescent="0.25">
      <c r="A31">
        <v>2031</v>
      </c>
      <c r="B31" s="28">
        <v>48000</v>
      </c>
      <c r="C31" t="s">
        <v>76</v>
      </c>
    </row>
    <row r="32" spans="1:3" x14ac:dyDescent="0.25">
      <c r="A32">
        <v>2026</v>
      </c>
      <c r="B32" s="28">
        <v>8023578</v>
      </c>
      <c r="C32" t="s">
        <v>8</v>
      </c>
    </row>
    <row r="33" spans="1:3" x14ac:dyDescent="0.25">
      <c r="A33">
        <v>2027</v>
      </c>
      <c r="B33" s="28">
        <v>8533000</v>
      </c>
      <c r="C33" t="s">
        <v>8</v>
      </c>
    </row>
    <row r="34" spans="1:3" x14ac:dyDescent="0.25">
      <c r="A34">
        <v>2028</v>
      </c>
      <c r="B34" s="28">
        <v>8965000</v>
      </c>
      <c r="C34" t="s">
        <v>8</v>
      </c>
    </row>
    <row r="35" spans="1:3" x14ac:dyDescent="0.25">
      <c r="A35">
        <v>2029</v>
      </c>
      <c r="B35" s="28">
        <v>9778000</v>
      </c>
      <c r="C35" t="s">
        <v>8</v>
      </c>
    </row>
    <row r="36" spans="1:3" x14ac:dyDescent="0.25">
      <c r="A36">
        <v>2030</v>
      </c>
      <c r="B36" s="28">
        <v>10005000</v>
      </c>
      <c r="C36" t="s">
        <v>8</v>
      </c>
    </row>
    <row r="37" spans="1:3" x14ac:dyDescent="0.25">
      <c r="A37">
        <v>2031</v>
      </c>
      <c r="B37" s="28">
        <v>10212000</v>
      </c>
      <c r="C37" t="s">
        <v>8</v>
      </c>
    </row>
  </sheetData>
  <hyperlinks>
    <hyperlink ref="D1" location="TOC" display="Back to TOC" xr:uid="{453820FF-8038-45C6-9C9B-91E101032AEE}"/>
  </hyperlinks>
  <pageMargins left="0.75" right="0.75" top="1" bottom="1" header="0.5" footer="0.5"/>
  <drawing r:id="rId2"/>
  <tableParts count="1">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S123"/>
  <sheetViews>
    <sheetView workbookViewId="0">
      <selection activeCell="F10" sqref="F10"/>
    </sheetView>
  </sheetViews>
  <sheetFormatPr defaultRowHeight="15" x14ac:dyDescent="0.25"/>
  <cols>
    <col min="1" max="1" width="5.42578125" bestFit="1" customWidth="1"/>
    <col min="2" max="2" width="11.140625" bestFit="1" customWidth="1"/>
    <col min="3" max="3" width="15.140625" bestFit="1" customWidth="1"/>
    <col min="4" max="4" width="21" bestFit="1" customWidth="1"/>
    <col min="8" max="8" width="11.28515625" bestFit="1" customWidth="1"/>
    <col min="9" max="9" width="13.28515625" bestFit="1" customWidth="1"/>
    <col min="10" max="10" width="12.140625" bestFit="1" customWidth="1"/>
    <col min="13" max="13" width="11.28515625" bestFit="1" customWidth="1"/>
    <col min="14" max="14" width="13.28515625" bestFit="1" customWidth="1"/>
    <col min="15" max="15" width="12.140625" bestFit="1" customWidth="1"/>
    <col min="18" max="18" width="11.28515625" bestFit="1" customWidth="1"/>
    <col min="19" max="20" width="12.140625" bestFit="1" customWidth="1"/>
  </cols>
  <sheetData>
    <row r="1" spans="1:19" x14ac:dyDescent="0.25">
      <c r="A1" t="s">
        <v>36</v>
      </c>
      <c r="B1" s="28" t="s">
        <v>1</v>
      </c>
      <c r="C1" s="28" t="s">
        <v>42</v>
      </c>
      <c r="D1" t="s">
        <v>0</v>
      </c>
      <c r="F1" s="62" t="s">
        <v>131</v>
      </c>
    </row>
    <row r="2" spans="1:19" x14ac:dyDescent="0.25">
      <c r="A2">
        <v>2026</v>
      </c>
      <c r="B2" s="28">
        <v>61500802</v>
      </c>
      <c r="C2" s="28">
        <v>5496179</v>
      </c>
      <c r="D2" t="s">
        <v>13</v>
      </c>
      <c r="H2" s="37" t="s">
        <v>36</v>
      </c>
      <c r="I2" t="s">
        <v>84</v>
      </c>
      <c r="J2" t="s">
        <v>85</v>
      </c>
      <c r="M2" s="37" t="s">
        <v>36</v>
      </c>
      <c r="N2" t="s">
        <v>84</v>
      </c>
      <c r="R2" s="37" t="s">
        <v>36</v>
      </c>
      <c r="S2" t="s">
        <v>85</v>
      </c>
    </row>
    <row r="3" spans="1:19" x14ac:dyDescent="0.25">
      <c r="A3">
        <v>2027</v>
      </c>
      <c r="B3" s="28">
        <v>60002882</v>
      </c>
      <c r="C3" s="28">
        <v>5838815</v>
      </c>
      <c r="D3" t="s">
        <v>13</v>
      </c>
      <c r="H3">
        <v>2026</v>
      </c>
      <c r="I3" s="28">
        <v>2430053</v>
      </c>
      <c r="J3" s="28">
        <v>24585563</v>
      </c>
      <c r="M3">
        <v>2026</v>
      </c>
      <c r="N3" s="28">
        <v>2430053</v>
      </c>
      <c r="R3">
        <v>2026</v>
      </c>
      <c r="S3" s="28">
        <v>24585563</v>
      </c>
    </row>
    <row r="4" spans="1:19" x14ac:dyDescent="0.25">
      <c r="A4">
        <v>2028</v>
      </c>
      <c r="B4" s="28">
        <v>58049007</v>
      </c>
      <c r="C4" s="28">
        <v>6127277</v>
      </c>
      <c r="D4" t="s">
        <v>13</v>
      </c>
      <c r="H4">
        <v>2027</v>
      </c>
      <c r="I4" s="28">
        <v>2572192</v>
      </c>
      <c r="J4" s="28">
        <v>23746065</v>
      </c>
      <c r="M4">
        <v>2027</v>
      </c>
      <c r="N4" s="28">
        <v>2572192</v>
      </c>
      <c r="R4">
        <v>2027</v>
      </c>
      <c r="S4" s="28">
        <v>23746065</v>
      </c>
    </row>
    <row r="5" spans="1:19" x14ac:dyDescent="0.25">
      <c r="A5">
        <v>2029</v>
      </c>
      <c r="B5" s="28">
        <v>55664161</v>
      </c>
      <c r="C5" s="28">
        <v>6701368</v>
      </c>
      <c r="D5" t="s">
        <v>13</v>
      </c>
      <c r="H5">
        <v>2028</v>
      </c>
      <c r="I5" s="28">
        <v>2691885</v>
      </c>
      <c r="J5" s="28">
        <v>22702590</v>
      </c>
      <c r="M5">
        <v>2028</v>
      </c>
      <c r="N5" s="28">
        <v>2691885</v>
      </c>
      <c r="R5">
        <v>2028</v>
      </c>
      <c r="S5" s="28">
        <v>22702590</v>
      </c>
    </row>
    <row r="6" spans="1:19" x14ac:dyDescent="0.25">
      <c r="A6">
        <v>2030</v>
      </c>
      <c r="B6" s="28">
        <v>52523858</v>
      </c>
      <c r="C6" s="28">
        <v>6857769</v>
      </c>
      <c r="D6" t="s">
        <v>13</v>
      </c>
      <c r="H6">
        <v>2029</v>
      </c>
      <c r="I6" s="28">
        <v>2928664</v>
      </c>
      <c r="J6" s="28">
        <v>21464462</v>
      </c>
      <c r="M6">
        <v>2029</v>
      </c>
      <c r="N6" s="28">
        <v>2928664</v>
      </c>
      <c r="R6">
        <v>2029</v>
      </c>
      <c r="S6" s="28">
        <v>21464462</v>
      </c>
    </row>
    <row r="7" spans="1:19" x14ac:dyDescent="0.25">
      <c r="A7">
        <v>2031</v>
      </c>
      <c r="B7" s="28">
        <v>49008381</v>
      </c>
      <c r="C7" s="28">
        <v>7000141</v>
      </c>
      <c r="D7" t="s">
        <v>13</v>
      </c>
      <c r="H7">
        <v>2030</v>
      </c>
      <c r="I7" s="28">
        <v>2998492</v>
      </c>
      <c r="J7" s="28">
        <v>19897442</v>
      </c>
      <c r="M7">
        <v>2030</v>
      </c>
      <c r="N7" s="28">
        <v>2998492</v>
      </c>
      <c r="R7">
        <v>2030</v>
      </c>
      <c r="S7" s="28">
        <v>19897442</v>
      </c>
    </row>
    <row r="8" spans="1:19" x14ac:dyDescent="0.25">
      <c r="A8">
        <v>2032</v>
      </c>
      <c r="B8" s="28">
        <v>45106718</v>
      </c>
      <c r="C8" s="28">
        <v>7146499</v>
      </c>
      <c r="D8" t="s">
        <v>13</v>
      </c>
      <c r="H8">
        <v>2031</v>
      </c>
      <c r="I8" s="28">
        <v>3062914</v>
      </c>
      <c r="J8" s="28">
        <v>18151704</v>
      </c>
      <c r="M8">
        <v>2031</v>
      </c>
      <c r="N8" s="28">
        <v>3062914</v>
      </c>
      <c r="R8">
        <v>2031</v>
      </c>
      <c r="S8" s="28">
        <v>18151704</v>
      </c>
    </row>
    <row r="9" spans="1:19" x14ac:dyDescent="0.25">
      <c r="A9">
        <v>2033</v>
      </c>
      <c r="B9" s="28">
        <v>40788491</v>
      </c>
      <c r="C9" s="28">
        <v>7117124</v>
      </c>
      <c r="D9" t="s">
        <v>13</v>
      </c>
      <c r="H9">
        <v>2032</v>
      </c>
      <c r="I9" s="28">
        <v>2588662</v>
      </c>
      <c r="J9" s="28">
        <v>16220680</v>
      </c>
      <c r="M9">
        <v>2032</v>
      </c>
      <c r="N9" s="28">
        <v>2588662</v>
      </c>
      <c r="R9">
        <v>2032</v>
      </c>
      <c r="S9" s="28">
        <v>16220680</v>
      </c>
    </row>
    <row r="10" spans="1:19" x14ac:dyDescent="0.25">
      <c r="A10">
        <v>2034</v>
      </c>
      <c r="B10" s="28">
        <v>36206981</v>
      </c>
      <c r="C10" s="28">
        <v>7081893</v>
      </c>
      <c r="D10" t="s">
        <v>13</v>
      </c>
      <c r="H10">
        <v>2033</v>
      </c>
      <c r="I10" s="28">
        <v>2572006</v>
      </c>
      <c r="J10" s="28">
        <v>14648455</v>
      </c>
      <c r="M10">
        <v>2033</v>
      </c>
      <c r="N10" s="28">
        <v>2572006</v>
      </c>
      <c r="R10">
        <v>2033</v>
      </c>
      <c r="S10" s="28">
        <v>14648455</v>
      </c>
    </row>
    <row r="11" spans="1:19" x14ac:dyDescent="0.25">
      <c r="A11">
        <v>2035</v>
      </c>
      <c r="B11" s="28">
        <v>31350339</v>
      </c>
      <c r="C11" s="28">
        <v>6976205</v>
      </c>
      <c r="D11" t="s">
        <v>13</v>
      </c>
      <c r="H11">
        <v>2034</v>
      </c>
      <c r="I11" s="28">
        <v>2552934</v>
      </c>
      <c r="J11" s="28">
        <v>12986535</v>
      </c>
      <c r="M11">
        <v>2034</v>
      </c>
      <c r="N11" s="28">
        <v>2552934</v>
      </c>
      <c r="R11">
        <v>2034</v>
      </c>
      <c r="S11" s="28">
        <v>12986535</v>
      </c>
    </row>
    <row r="12" spans="1:19" x14ac:dyDescent="0.25">
      <c r="A12">
        <v>2036</v>
      </c>
      <c r="B12" s="28">
        <v>26272665</v>
      </c>
      <c r="C12" s="28">
        <v>5728517</v>
      </c>
      <c r="D12" t="s">
        <v>13</v>
      </c>
      <c r="H12">
        <v>2035</v>
      </c>
      <c r="I12" s="28">
        <v>2505213</v>
      </c>
      <c r="J12" s="28">
        <v>11231314</v>
      </c>
      <c r="M12">
        <v>2035</v>
      </c>
      <c r="N12" s="28">
        <v>2505213</v>
      </c>
      <c r="R12">
        <v>2035</v>
      </c>
      <c r="S12" s="28">
        <v>11231314</v>
      </c>
    </row>
    <row r="13" spans="1:19" x14ac:dyDescent="0.25">
      <c r="A13">
        <v>2037</v>
      </c>
      <c r="B13" s="28">
        <v>22139120</v>
      </c>
      <c r="C13" s="28">
        <v>5325122</v>
      </c>
      <c r="D13" t="s">
        <v>13</v>
      </c>
      <c r="H13">
        <v>2036</v>
      </c>
      <c r="I13" s="28">
        <v>2321639</v>
      </c>
      <c r="J13" s="28">
        <v>9406054</v>
      </c>
      <c r="M13">
        <v>2036</v>
      </c>
      <c r="N13" s="28">
        <v>2321639</v>
      </c>
      <c r="R13">
        <v>2036</v>
      </c>
      <c r="S13" s="28">
        <v>9406054</v>
      </c>
    </row>
    <row r="14" spans="1:19" x14ac:dyDescent="0.25">
      <c r="A14">
        <v>2038</v>
      </c>
      <c r="B14" s="28">
        <v>18141382</v>
      </c>
      <c r="C14" s="28">
        <v>3714932</v>
      </c>
      <c r="D14" t="s">
        <v>13</v>
      </c>
      <c r="H14">
        <v>2037</v>
      </c>
      <c r="I14" s="28">
        <v>1478800</v>
      </c>
      <c r="J14" s="28">
        <v>7646390</v>
      </c>
      <c r="M14">
        <v>2037</v>
      </c>
      <c r="N14" s="28">
        <v>1478800</v>
      </c>
      <c r="R14">
        <v>2037</v>
      </c>
      <c r="S14" s="28">
        <v>7646390</v>
      </c>
    </row>
    <row r="15" spans="1:19" x14ac:dyDescent="0.25">
      <c r="A15">
        <v>2039</v>
      </c>
      <c r="B15" s="28">
        <v>15535836</v>
      </c>
      <c r="C15" s="28">
        <v>3438206</v>
      </c>
      <c r="D15" t="s">
        <v>13</v>
      </c>
      <c r="H15">
        <v>2038</v>
      </c>
      <c r="I15" s="28">
        <v>1373728</v>
      </c>
      <c r="J15" s="28">
        <v>6638092</v>
      </c>
      <c r="M15">
        <v>2038</v>
      </c>
      <c r="N15" s="28">
        <v>1373728</v>
      </c>
      <c r="R15">
        <v>2038</v>
      </c>
      <c r="S15" s="28">
        <v>6638092</v>
      </c>
    </row>
    <row r="16" spans="1:19" x14ac:dyDescent="0.25">
      <c r="A16">
        <v>2040</v>
      </c>
      <c r="B16" s="28">
        <v>13039093</v>
      </c>
      <c r="C16" s="28">
        <v>3218279</v>
      </c>
      <c r="D16" t="s">
        <v>13</v>
      </c>
      <c r="H16">
        <v>2039</v>
      </c>
      <c r="I16" s="28">
        <v>1262153</v>
      </c>
      <c r="J16" s="28">
        <v>5669815</v>
      </c>
      <c r="M16">
        <v>2039</v>
      </c>
      <c r="N16" s="28">
        <v>1262153</v>
      </c>
      <c r="R16">
        <v>2039</v>
      </c>
      <c r="S16" s="28">
        <v>5669815</v>
      </c>
    </row>
    <row r="17" spans="1:19" x14ac:dyDescent="0.25">
      <c r="A17">
        <v>2041</v>
      </c>
      <c r="B17" s="28">
        <v>10599853</v>
      </c>
      <c r="C17" s="28">
        <v>3081453</v>
      </c>
      <c r="D17" t="s">
        <v>13</v>
      </c>
      <c r="H17">
        <v>2040</v>
      </c>
      <c r="I17" s="28">
        <v>1173784</v>
      </c>
      <c r="J17" s="28">
        <v>4751003</v>
      </c>
      <c r="M17">
        <v>2040</v>
      </c>
      <c r="N17" s="28">
        <v>1173784</v>
      </c>
      <c r="R17">
        <v>2040</v>
      </c>
      <c r="S17" s="28">
        <v>4751003</v>
      </c>
    </row>
    <row r="18" spans="1:19" x14ac:dyDescent="0.25">
      <c r="A18">
        <v>2042</v>
      </c>
      <c r="B18" s="28">
        <v>8136144</v>
      </c>
      <c r="C18" s="28">
        <v>2678295</v>
      </c>
      <c r="D18" t="s">
        <v>13</v>
      </c>
      <c r="H18">
        <v>2041</v>
      </c>
      <c r="I18" s="28">
        <v>1114930</v>
      </c>
      <c r="J18" s="28">
        <v>3861036</v>
      </c>
      <c r="M18">
        <v>2041</v>
      </c>
      <c r="N18" s="28">
        <v>1114930</v>
      </c>
      <c r="R18">
        <v>2041</v>
      </c>
      <c r="S18" s="28">
        <v>3861036</v>
      </c>
    </row>
    <row r="19" spans="1:19" x14ac:dyDescent="0.25">
      <c r="A19">
        <v>2043</v>
      </c>
      <c r="B19" s="28">
        <v>5921542</v>
      </c>
      <c r="C19" s="28">
        <v>2276413</v>
      </c>
      <c r="D19" t="s">
        <v>13</v>
      </c>
      <c r="H19">
        <v>2042</v>
      </c>
      <c r="I19" s="28">
        <v>966732</v>
      </c>
      <c r="J19" s="28">
        <v>2971373</v>
      </c>
      <c r="M19">
        <v>2042</v>
      </c>
      <c r="N19" s="28">
        <v>966732</v>
      </c>
      <c r="R19">
        <v>2042</v>
      </c>
      <c r="S19" s="28">
        <v>2971373</v>
      </c>
    </row>
    <row r="20" spans="1:19" x14ac:dyDescent="0.25">
      <c r="A20">
        <v>2044</v>
      </c>
      <c r="B20" s="28">
        <v>3971670</v>
      </c>
      <c r="C20" s="28">
        <v>3435801</v>
      </c>
      <c r="D20" t="s">
        <v>13</v>
      </c>
      <c r="H20">
        <v>2043</v>
      </c>
      <c r="I20" s="28">
        <v>811646</v>
      </c>
      <c r="J20" s="28">
        <v>2174366</v>
      </c>
      <c r="M20">
        <v>2043</v>
      </c>
      <c r="N20" s="28">
        <v>811646</v>
      </c>
      <c r="R20">
        <v>2043</v>
      </c>
      <c r="S20" s="28">
        <v>2174366</v>
      </c>
    </row>
    <row r="21" spans="1:19" x14ac:dyDescent="0.25">
      <c r="A21">
        <v>2045</v>
      </c>
      <c r="B21" s="28">
        <v>691044</v>
      </c>
      <c r="C21" s="28">
        <v>699755</v>
      </c>
      <c r="D21" t="s">
        <v>13</v>
      </c>
      <c r="H21">
        <v>2044</v>
      </c>
      <c r="I21" s="28">
        <v>1324722</v>
      </c>
      <c r="J21" s="28">
        <v>1483433</v>
      </c>
      <c r="M21">
        <v>2044</v>
      </c>
      <c r="N21" s="28">
        <v>1324722</v>
      </c>
      <c r="R21">
        <v>2044</v>
      </c>
      <c r="S21" s="28">
        <v>1483433</v>
      </c>
    </row>
    <row r="22" spans="1:19" x14ac:dyDescent="0.25">
      <c r="A22">
        <v>2046</v>
      </c>
      <c r="B22" s="28">
        <v>14881</v>
      </c>
      <c r="C22" s="28">
        <v>15379</v>
      </c>
      <c r="D22" t="s">
        <v>13</v>
      </c>
      <c r="H22">
        <v>2045</v>
      </c>
      <c r="I22" s="28">
        <v>222482</v>
      </c>
      <c r="J22" s="28">
        <v>215283</v>
      </c>
      <c r="M22">
        <v>2045</v>
      </c>
      <c r="N22" s="28">
        <v>222482</v>
      </c>
      <c r="R22">
        <v>2045</v>
      </c>
      <c r="S22" s="28">
        <v>215283</v>
      </c>
    </row>
    <row r="23" spans="1:19" x14ac:dyDescent="0.25">
      <c r="A23">
        <v>2026</v>
      </c>
      <c r="B23" s="28">
        <v>24585563</v>
      </c>
      <c r="C23" s="28">
        <v>2430053</v>
      </c>
      <c r="D23" t="s">
        <v>74</v>
      </c>
      <c r="H23" t="s">
        <v>83</v>
      </c>
      <c r="I23" s="28">
        <v>38953631</v>
      </c>
      <c r="J23" s="28">
        <v>230451655</v>
      </c>
      <c r="M23" t="s">
        <v>83</v>
      </c>
      <c r="N23" s="28">
        <v>38953631</v>
      </c>
      <c r="R23" t="s">
        <v>83</v>
      </c>
      <c r="S23" s="28">
        <v>230451655</v>
      </c>
    </row>
    <row r="24" spans="1:19" x14ac:dyDescent="0.25">
      <c r="A24">
        <v>2027</v>
      </c>
      <c r="B24" s="28">
        <v>23746065</v>
      </c>
      <c r="C24" s="28">
        <v>2572192</v>
      </c>
      <c r="D24" t="s">
        <v>74</v>
      </c>
    </row>
    <row r="25" spans="1:19" x14ac:dyDescent="0.25">
      <c r="A25">
        <v>2028</v>
      </c>
      <c r="B25" s="28">
        <v>22702590</v>
      </c>
      <c r="C25" s="28">
        <v>2691885</v>
      </c>
      <c r="D25" t="s">
        <v>74</v>
      </c>
    </row>
    <row r="26" spans="1:19" x14ac:dyDescent="0.25">
      <c r="A26">
        <v>2029</v>
      </c>
      <c r="B26" s="28">
        <v>21464462</v>
      </c>
      <c r="C26" s="28">
        <v>2928664</v>
      </c>
      <c r="D26" t="s">
        <v>74</v>
      </c>
    </row>
    <row r="27" spans="1:19" x14ac:dyDescent="0.25">
      <c r="A27">
        <v>2030</v>
      </c>
      <c r="B27" s="28">
        <v>19897442</v>
      </c>
      <c r="C27" s="28">
        <v>2998492</v>
      </c>
      <c r="D27" t="s">
        <v>74</v>
      </c>
    </row>
    <row r="28" spans="1:19" x14ac:dyDescent="0.25">
      <c r="A28">
        <v>2031</v>
      </c>
      <c r="B28" s="28">
        <v>18151704</v>
      </c>
      <c r="C28" s="28">
        <v>3062914</v>
      </c>
      <c r="D28" t="s">
        <v>74</v>
      </c>
    </row>
    <row r="29" spans="1:19" x14ac:dyDescent="0.25">
      <c r="A29">
        <v>2032</v>
      </c>
      <c r="B29" s="28">
        <v>16220680</v>
      </c>
      <c r="C29" s="28">
        <v>2588662</v>
      </c>
      <c r="D29" t="s">
        <v>74</v>
      </c>
    </row>
    <row r="30" spans="1:19" x14ac:dyDescent="0.25">
      <c r="A30">
        <v>2033</v>
      </c>
      <c r="B30" s="28">
        <v>14648455</v>
      </c>
      <c r="C30" s="28">
        <v>2572006</v>
      </c>
      <c r="D30" t="s">
        <v>74</v>
      </c>
    </row>
    <row r="31" spans="1:19" x14ac:dyDescent="0.25">
      <c r="A31">
        <v>2034</v>
      </c>
      <c r="B31" s="28">
        <v>12986535</v>
      </c>
      <c r="C31" s="28">
        <v>2552934</v>
      </c>
      <c r="D31" t="s">
        <v>74</v>
      </c>
    </row>
    <row r="32" spans="1:19" x14ac:dyDescent="0.25">
      <c r="A32">
        <v>2035</v>
      </c>
      <c r="B32" s="28">
        <v>11231314</v>
      </c>
      <c r="C32" s="28">
        <v>2505213</v>
      </c>
      <c r="D32" t="s">
        <v>74</v>
      </c>
    </row>
    <row r="33" spans="1:4" x14ac:dyDescent="0.25">
      <c r="A33">
        <v>2036</v>
      </c>
      <c r="B33" s="28">
        <v>9406054</v>
      </c>
      <c r="C33" s="28">
        <v>2321639</v>
      </c>
      <c r="D33" t="s">
        <v>74</v>
      </c>
    </row>
    <row r="34" spans="1:4" x14ac:dyDescent="0.25">
      <c r="A34">
        <v>2037</v>
      </c>
      <c r="B34" s="28">
        <v>7646390</v>
      </c>
      <c r="C34" s="28">
        <v>1478800</v>
      </c>
      <c r="D34" t="s">
        <v>74</v>
      </c>
    </row>
    <row r="35" spans="1:4" x14ac:dyDescent="0.25">
      <c r="A35">
        <v>2038</v>
      </c>
      <c r="B35" s="28">
        <v>6638092</v>
      </c>
      <c r="C35" s="28">
        <v>1373728</v>
      </c>
      <c r="D35" t="s">
        <v>74</v>
      </c>
    </row>
    <row r="36" spans="1:4" x14ac:dyDescent="0.25">
      <c r="A36">
        <v>2039</v>
      </c>
      <c r="B36" s="28">
        <v>5669815</v>
      </c>
      <c r="C36" s="28">
        <v>1262153</v>
      </c>
      <c r="D36" t="s">
        <v>74</v>
      </c>
    </row>
    <row r="37" spans="1:4" x14ac:dyDescent="0.25">
      <c r="A37">
        <v>2040</v>
      </c>
      <c r="B37" s="28">
        <v>4751003</v>
      </c>
      <c r="C37" s="28">
        <v>1173784</v>
      </c>
      <c r="D37" t="s">
        <v>74</v>
      </c>
    </row>
    <row r="38" spans="1:4" x14ac:dyDescent="0.25">
      <c r="A38">
        <v>2041</v>
      </c>
      <c r="B38" s="28">
        <v>3861036</v>
      </c>
      <c r="C38" s="28">
        <v>1114930</v>
      </c>
      <c r="D38" t="s">
        <v>74</v>
      </c>
    </row>
    <row r="39" spans="1:4" x14ac:dyDescent="0.25">
      <c r="A39">
        <v>2042</v>
      </c>
      <c r="B39" s="28">
        <v>2971373</v>
      </c>
      <c r="C39" s="28">
        <v>966732</v>
      </c>
      <c r="D39" t="s">
        <v>74</v>
      </c>
    </row>
    <row r="40" spans="1:4" x14ac:dyDescent="0.25">
      <c r="A40">
        <v>2043</v>
      </c>
      <c r="B40" s="28">
        <v>2174366</v>
      </c>
      <c r="C40" s="28">
        <v>811646</v>
      </c>
      <c r="D40" t="s">
        <v>74</v>
      </c>
    </row>
    <row r="41" spans="1:4" x14ac:dyDescent="0.25">
      <c r="A41">
        <v>2044</v>
      </c>
      <c r="B41" s="28">
        <v>1483433</v>
      </c>
      <c r="C41" s="28">
        <v>1324722</v>
      </c>
      <c r="D41" t="s">
        <v>74</v>
      </c>
    </row>
    <row r="42" spans="1:4" x14ac:dyDescent="0.25">
      <c r="A42">
        <v>2045</v>
      </c>
      <c r="B42" s="28">
        <v>215283</v>
      </c>
      <c r="C42" s="28">
        <v>222482</v>
      </c>
      <c r="D42" t="s">
        <v>74</v>
      </c>
    </row>
    <row r="43" spans="1:4" x14ac:dyDescent="0.25">
      <c r="A43">
        <v>2026</v>
      </c>
      <c r="B43" s="28">
        <v>338865</v>
      </c>
      <c r="C43" s="28">
        <v>22609</v>
      </c>
      <c r="D43" t="s">
        <v>75</v>
      </c>
    </row>
    <row r="44" spans="1:4" x14ac:dyDescent="0.25">
      <c r="A44">
        <v>2027</v>
      </c>
      <c r="B44" s="28">
        <v>338542</v>
      </c>
      <c r="C44" s="28">
        <v>28021</v>
      </c>
      <c r="D44" t="s">
        <v>75</v>
      </c>
    </row>
    <row r="45" spans="1:4" x14ac:dyDescent="0.25">
      <c r="A45">
        <v>2028</v>
      </c>
      <c r="B45" s="28">
        <v>332604</v>
      </c>
      <c r="C45" s="28">
        <v>33435</v>
      </c>
      <c r="D45" t="s">
        <v>75</v>
      </c>
    </row>
    <row r="46" spans="1:4" x14ac:dyDescent="0.25">
      <c r="A46">
        <v>2029</v>
      </c>
      <c r="B46" s="28">
        <v>320667</v>
      </c>
      <c r="C46" s="28">
        <v>32004</v>
      </c>
      <c r="D46" t="s">
        <v>75</v>
      </c>
    </row>
    <row r="47" spans="1:4" x14ac:dyDescent="0.25">
      <c r="A47">
        <v>2030</v>
      </c>
      <c r="B47" s="28">
        <v>309398</v>
      </c>
      <c r="C47" s="28">
        <v>32293</v>
      </c>
      <c r="D47" t="s">
        <v>75</v>
      </c>
    </row>
    <row r="48" spans="1:4" x14ac:dyDescent="0.25">
      <c r="A48">
        <v>2031</v>
      </c>
      <c r="B48" s="28">
        <v>297065</v>
      </c>
      <c r="C48" s="28">
        <v>32294</v>
      </c>
      <c r="D48" t="s">
        <v>75</v>
      </c>
    </row>
    <row r="49" spans="1:4" x14ac:dyDescent="0.25">
      <c r="A49">
        <v>2032</v>
      </c>
      <c r="B49" s="28">
        <v>283891</v>
      </c>
      <c r="C49" s="28">
        <v>32294</v>
      </c>
      <c r="D49" t="s">
        <v>75</v>
      </c>
    </row>
    <row r="50" spans="1:4" x14ac:dyDescent="0.25">
      <c r="A50">
        <v>2033</v>
      </c>
      <c r="B50" s="28">
        <v>269821</v>
      </c>
      <c r="C50" s="28">
        <v>32294</v>
      </c>
      <c r="D50" t="s">
        <v>75</v>
      </c>
    </row>
    <row r="51" spans="1:4" x14ac:dyDescent="0.25">
      <c r="A51">
        <v>2034</v>
      </c>
      <c r="B51" s="28">
        <v>254796</v>
      </c>
      <c r="C51" s="28">
        <v>32295</v>
      </c>
      <c r="D51" t="s">
        <v>75</v>
      </c>
    </row>
    <row r="52" spans="1:4" x14ac:dyDescent="0.25">
      <c r="A52">
        <v>2035</v>
      </c>
      <c r="B52" s="28">
        <v>238746</v>
      </c>
      <c r="C52" s="28">
        <v>32293</v>
      </c>
      <c r="D52" t="s">
        <v>75</v>
      </c>
    </row>
    <row r="53" spans="1:4" x14ac:dyDescent="0.25">
      <c r="A53">
        <v>2036</v>
      </c>
      <c r="B53" s="28">
        <v>221607</v>
      </c>
      <c r="C53" s="28">
        <v>32293</v>
      </c>
      <c r="D53" t="s">
        <v>75</v>
      </c>
    </row>
    <row r="54" spans="1:4" x14ac:dyDescent="0.25">
      <c r="A54">
        <v>2037</v>
      </c>
      <c r="B54" s="28">
        <v>203304</v>
      </c>
      <c r="C54" s="28">
        <v>32295</v>
      </c>
      <c r="D54" t="s">
        <v>75</v>
      </c>
    </row>
    <row r="55" spans="1:4" x14ac:dyDescent="0.25">
      <c r="A55">
        <v>2038</v>
      </c>
      <c r="B55" s="28">
        <v>183754</v>
      </c>
      <c r="C55" s="28">
        <v>32295</v>
      </c>
      <c r="D55" t="s">
        <v>75</v>
      </c>
    </row>
    <row r="56" spans="1:4" x14ac:dyDescent="0.25">
      <c r="A56">
        <v>2039</v>
      </c>
      <c r="B56" s="28">
        <v>162875</v>
      </c>
      <c r="C56" s="28">
        <v>32295</v>
      </c>
      <c r="D56" t="s">
        <v>75</v>
      </c>
    </row>
    <row r="57" spans="1:4" x14ac:dyDescent="0.25">
      <c r="A57">
        <v>2040</v>
      </c>
      <c r="B57" s="28">
        <v>140575</v>
      </c>
      <c r="C57" s="28">
        <v>32295</v>
      </c>
      <c r="D57" t="s">
        <v>75</v>
      </c>
    </row>
    <row r="58" spans="1:4" x14ac:dyDescent="0.25">
      <c r="A58">
        <v>2041</v>
      </c>
      <c r="B58" s="28">
        <v>116759</v>
      </c>
      <c r="C58" s="28">
        <v>32294</v>
      </c>
      <c r="D58" t="s">
        <v>75</v>
      </c>
    </row>
    <row r="59" spans="1:4" x14ac:dyDescent="0.25">
      <c r="A59">
        <v>2042</v>
      </c>
      <c r="B59" s="28">
        <v>91324</v>
      </c>
      <c r="C59" s="28">
        <v>32296</v>
      </c>
      <c r="D59" t="s">
        <v>75</v>
      </c>
    </row>
    <row r="60" spans="1:4" x14ac:dyDescent="0.25">
      <c r="A60">
        <v>2043</v>
      </c>
      <c r="B60" s="28">
        <v>64157</v>
      </c>
      <c r="C60" s="28">
        <v>32293</v>
      </c>
      <c r="D60" t="s">
        <v>75</v>
      </c>
    </row>
    <row r="61" spans="1:4" x14ac:dyDescent="0.25">
      <c r="A61">
        <v>2044</v>
      </c>
      <c r="B61" s="28">
        <v>35146</v>
      </c>
      <c r="C61" s="28">
        <v>32295</v>
      </c>
      <c r="D61" t="s">
        <v>75</v>
      </c>
    </row>
    <row r="62" spans="1:4" x14ac:dyDescent="0.25">
      <c r="A62">
        <v>2045</v>
      </c>
      <c r="B62" s="28">
        <v>4161</v>
      </c>
      <c r="C62" s="28">
        <v>4300</v>
      </c>
      <c r="D62" t="s">
        <v>75</v>
      </c>
    </row>
    <row r="63" spans="1:4" x14ac:dyDescent="0.25">
      <c r="A63">
        <v>2026</v>
      </c>
      <c r="B63" s="28">
        <v>726554</v>
      </c>
      <c r="C63" s="28">
        <v>50642</v>
      </c>
      <c r="D63" t="s">
        <v>40</v>
      </c>
    </row>
    <row r="64" spans="1:4" x14ac:dyDescent="0.25">
      <c r="A64">
        <v>2027</v>
      </c>
      <c r="B64" s="28">
        <v>723623</v>
      </c>
      <c r="C64" s="28">
        <v>62054</v>
      </c>
      <c r="D64" t="s">
        <v>40</v>
      </c>
    </row>
    <row r="65" spans="1:4" x14ac:dyDescent="0.25">
      <c r="A65">
        <v>2028</v>
      </c>
      <c r="B65" s="28">
        <v>708700</v>
      </c>
      <c r="C65" s="28">
        <v>73465</v>
      </c>
      <c r="D65" t="s">
        <v>40</v>
      </c>
    </row>
    <row r="66" spans="1:4" x14ac:dyDescent="0.25">
      <c r="A66">
        <v>2029</v>
      </c>
      <c r="B66" s="28">
        <v>680971</v>
      </c>
      <c r="C66" s="28">
        <v>67901</v>
      </c>
      <c r="D66" t="s">
        <v>40</v>
      </c>
    </row>
    <row r="67" spans="1:4" x14ac:dyDescent="0.25">
      <c r="A67">
        <v>2030</v>
      </c>
      <c r="B67" s="28">
        <v>657106</v>
      </c>
      <c r="C67" s="28">
        <v>68563</v>
      </c>
      <c r="D67" t="s">
        <v>40</v>
      </c>
    </row>
    <row r="68" spans="1:4" x14ac:dyDescent="0.25">
      <c r="A68">
        <v>2031</v>
      </c>
      <c r="B68" s="28">
        <v>630933</v>
      </c>
      <c r="C68" s="28">
        <v>68564</v>
      </c>
      <c r="D68" t="s">
        <v>40</v>
      </c>
    </row>
    <row r="69" spans="1:4" x14ac:dyDescent="0.25">
      <c r="A69">
        <v>2032</v>
      </c>
      <c r="B69" s="28">
        <v>602980</v>
      </c>
      <c r="C69" s="28">
        <v>68563</v>
      </c>
      <c r="D69" t="s">
        <v>40</v>
      </c>
    </row>
    <row r="70" spans="1:4" x14ac:dyDescent="0.25">
      <c r="A70">
        <v>2033</v>
      </c>
      <c r="B70" s="28">
        <v>573126</v>
      </c>
      <c r="C70" s="28">
        <v>68562</v>
      </c>
      <c r="D70" t="s">
        <v>40</v>
      </c>
    </row>
    <row r="71" spans="1:4" x14ac:dyDescent="0.25">
      <c r="A71">
        <v>2034</v>
      </c>
      <c r="B71" s="28">
        <v>541245</v>
      </c>
      <c r="C71" s="28">
        <v>68564</v>
      </c>
      <c r="D71" t="s">
        <v>40</v>
      </c>
    </row>
    <row r="72" spans="1:4" x14ac:dyDescent="0.25">
      <c r="A72">
        <v>2035</v>
      </c>
      <c r="B72" s="28">
        <v>507194</v>
      </c>
      <c r="C72" s="28">
        <v>68564</v>
      </c>
      <c r="D72" t="s">
        <v>40</v>
      </c>
    </row>
    <row r="73" spans="1:4" x14ac:dyDescent="0.25">
      <c r="A73">
        <v>2036</v>
      </c>
      <c r="B73" s="28">
        <v>470826</v>
      </c>
      <c r="C73" s="28">
        <v>68562</v>
      </c>
      <c r="D73" t="s">
        <v>40</v>
      </c>
    </row>
    <row r="74" spans="1:4" x14ac:dyDescent="0.25">
      <c r="A74">
        <v>2037</v>
      </c>
      <c r="B74" s="28">
        <v>431988</v>
      </c>
      <c r="C74" s="28">
        <v>68564</v>
      </c>
      <c r="D74" t="s">
        <v>40</v>
      </c>
    </row>
    <row r="75" spans="1:4" x14ac:dyDescent="0.25">
      <c r="A75">
        <v>2038</v>
      </c>
      <c r="B75" s="28">
        <v>390506</v>
      </c>
      <c r="C75" s="28">
        <v>68563</v>
      </c>
      <c r="D75" t="s">
        <v>40</v>
      </c>
    </row>
    <row r="76" spans="1:4" x14ac:dyDescent="0.25">
      <c r="A76">
        <v>2039</v>
      </c>
      <c r="B76" s="28">
        <v>346205</v>
      </c>
      <c r="C76" s="28">
        <v>68563</v>
      </c>
      <c r="D76" t="s">
        <v>40</v>
      </c>
    </row>
    <row r="77" spans="1:4" x14ac:dyDescent="0.25">
      <c r="A77">
        <v>2040</v>
      </c>
      <c r="B77" s="28">
        <v>298890</v>
      </c>
      <c r="C77" s="28">
        <v>68562</v>
      </c>
      <c r="D77" t="s">
        <v>40</v>
      </c>
    </row>
    <row r="78" spans="1:4" x14ac:dyDescent="0.25">
      <c r="A78">
        <v>2041</v>
      </c>
      <c r="B78" s="28">
        <v>248359</v>
      </c>
      <c r="C78" s="28">
        <v>68562</v>
      </c>
      <c r="D78" t="s">
        <v>40</v>
      </c>
    </row>
    <row r="79" spans="1:4" x14ac:dyDescent="0.25">
      <c r="A79">
        <v>2042</v>
      </c>
      <c r="B79" s="28">
        <v>194393</v>
      </c>
      <c r="C79" s="28">
        <v>68562</v>
      </c>
      <c r="D79" t="s">
        <v>40</v>
      </c>
    </row>
    <row r="80" spans="1:4" x14ac:dyDescent="0.25">
      <c r="A80">
        <v>2043</v>
      </c>
      <c r="B80" s="28">
        <v>136756</v>
      </c>
      <c r="C80" s="28">
        <v>68563</v>
      </c>
      <c r="D80" t="s">
        <v>40</v>
      </c>
    </row>
    <row r="81" spans="1:4" x14ac:dyDescent="0.25">
      <c r="A81">
        <v>2044</v>
      </c>
      <c r="B81" s="28">
        <v>75200</v>
      </c>
      <c r="C81" s="28">
        <v>68563</v>
      </c>
      <c r="D81" t="s">
        <v>40</v>
      </c>
    </row>
    <row r="82" spans="1:4" x14ac:dyDescent="0.25">
      <c r="A82">
        <v>2045</v>
      </c>
      <c r="B82" s="28">
        <v>9457</v>
      </c>
      <c r="C82" s="28">
        <v>9773</v>
      </c>
      <c r="D82" t="s">
        <v>40</v>
      </c>
    </row>
    <row r="83" spans="1:4" x14ac:dyDescent="0.25">
      <c r="A83">
        <v>2026</v>
      </c>
      <c r="B83" s="28">
        <v>481675</v>
      </c>
      <c r="C83" s="28">
        <v>24095</v>
      </c>
      <c r="D83" t="s">
        <v>76</v>
      </c>
    </row>
    <row r="84" spans="1:4" x14ac:dyDescent="0.25">
      <c r="A84">
        <v>2027</v>
      </c>
      <c r="B84" s="28">
        <v>489528</v>
      </c>
      <c r="C84" s="28">
        <v>32076</v>
      </c>
      <c r="D84" t="s">
        <v>76</v>
      </c>
    </row>
    <row r="85" spans="1:4" x14ac:dyDescent="0.25">
      <c r="A85">
        <v>2028</v>
      </c>
      <c r="B85" s="28">
        <v>489667</v>
      </c>
      <c r="C85" s="28">
        <v>40057</v>
      </c>
      <c r="D85" t="s">
        <v>76</v>
      </c>
    </row>
    <row r="86" spans="1:4" x14ac:dyDescent="0.25">
      <c r="A86">
        <v>2029</v>
      </c>
      <c r="B86" s="28">
        <v>481568</v>
      </c>
      <c r="C86" s="28">
        <v>48037</v>
      </c>
      <c r="D86" t="s">
        <v>76</v>
      </c>
    </row>
    <row r="87" spans="1:4" x14ac:dyDescent="0.25">
      <c r="A87">
        <v>2030</v>
      </c>
      <c r="B87" s="28">
        <v>464672</v>
      </c>
      <c r="C87" s="28">
        <v>48474</v>
      </c>
      <c r="D87" t="s">
        <v>76</v>
      </c>
    </row>
    <row r="88" spans="1:4" x14ac:dyDescent="0.25">
      <c r="A88">
        <v>2031</v>
      </c>
      <c r="B88" s="28">
        <v>446174</v>
      </c>
      <c r="C88" s="28">
        <v>48473</v>
      </c>
      <c r="D88" t="s">
        <v>76</v>
      </c>
    </row>
    <row r="89" spans="1:4" x14ac:dyDescent="0.25">
      <c r="A89">
        <v>2032</v>
      </c>
      <c r="B89" s="28">
        <v>426420</v>
      </c>
      <c r="C89" s="28">
        <v>48473</v>
      </c>
      <c r="D89" t="s">
        <v>76</v>
      </c>
    </row>
    <row r="90" spans="1:4" x14ac:dyDescent="0.25">
      <c r="A90">
        <v>2033</v>
      </c>
      <c r="B90" s="28">
        <v>405323</v>
      </c>
      <c r="C90" s="28">
        <v>48474</v>
      </c>
      <c r="D90" t="s">
        <v>76</v>
      </c>
    </row>
    <row r="91" spans="1:4" x14ac:dyDescent="0.25">
      <c r="A91">
        <v>2034</v>
      </c>
      <c r="B91" s="28">
        <v>382790</v>
      </c>
      <c r="C91" s="28">
        <v>48473</v>
      </c>
      <c r="D91" t="s">
        <v>76</v>
      </c>
    </row>
    <row r="92" spans="1:4" x14ac:dyDescent="0.25">
      <c r="A92">
        <v>2035</v>
      </c>
      <c r="B92" s="28">
        <v>358727</v>
      </c>
      <c r="C92" s="28">
        <v>48474</v>
      </c>
      <c r="D92" t="s">
        <v>76</v>
      </c>
    </row>
    <row r="93" spans="1:4" x14ac:dyDescent="0.25">
      <c r="A93">
        <v>2036</v>
      </c>
      <c r="B93" s="28">
        <v>333026</v>
      </c>
      <c r="C93" s="28">
        <v>48474</v>
      </c>
      <c r="D93" t="s">
        <v>76</v>
      </c>
    </row>
    <row r="94" spans="1:4" x14ac:dyDescent="0.25">
      <c r="A94">
        <v>2037</v>
      </c>
      <c r="B94" s="28">
        <v>305577</v>
      </c>
      <c r="C94" s="28">
        <v>48474</v>
      </c>
      <c r="D94" t="s">
        <v>76</v>
      </c>
    </row>
    <row r="95" spans="1:4" x14ac:dyDescent="0.25">
      <c r="A95">
        <v>2038</v>
      </c>
      <c r="B95" s="28">
        <v>276261</v>
      </c>
      <c r="C95" s="28">
        <v>48475</v>
      </c>
      <c r="D95" t="s">
        <v>76</v>
      </c>
    </row>
    <row r="96" spans="1:4" x14ac:dyDescent="0.25">
      <c r="A96">
        <v>2039</v>
      </c>
      <c r="B96" s="28">
        <v>244951</v>
      </c>
      <c r="C96" s="28">
        <v>48474</v>
      </c>
      <c r="D96" t="s">
        <v>76</v>
      </c>
    </row>
    <row r="97" spans="1:4" x14ac:dyDescent="0.25">
      <c r="A97">
        <v>2040</v>
      </c>
      <c r="B97" s="28">
        <v>211512</v>
      </c>
      <c r="C97" s="28">
        <v>48473</v>
      </c>
      <c r="D97" t="s">
        <v>76</v>
      </c>
    </row>
    <row r="98" spans="1:4" x14ac:dyDescent="0.25">
      <c r="A98">
        <v>2041</v>
      </c>
      <c r="B98" s="28">
        <v>175802</v>
      </c>
      <c r="C98" s="28">
        <v>48475</v>
      </c>
      <c r="D98" t="s">
        <v>76</v>
      </c>
    </row>
    <row r="99" spans="1:4" x14ac:dyDescent="0.25">
      <c r="A99">
        <v>2042</v>
      </c>
      <c r="B99" s="28">
        <v>137660</v>
      </c>
      <c r="C99" s="28">
        <v>48473</v>
      </c>
      <c r="D99" t="s">
        <v>76</v>
      </c>
    </row>
    <row r="100" spans="1:4" x14ac:dyDescent="0.25">
      <c r="A100">
        <v>2043</v>
      </c>
      <c r="B100" s="28">
        <v>96927</v>
      </c>
      <c r="C100" s="28">
        <v>48473</v>
      </c>
      <c r="D100" t="s">
        <v>76</v>
      </c>
    </row>
    <row r="101" spans="1:4" x14ac:dyDescent="0.25">
      <c r="A101">
        <v>2044</v>
      </c>
      <c r="B101" s="28">
        <v>53425</v>
      </c>
      <c r="C101" s="28">
        <v>48475</v>
      </c>
      <c r="D101" t="s">
        <v>76</v>
      </c>
    </row>
    <row r="102" spans="1:4" x14ac:dyDescent="0.25">
      <c r="A102">
        <v>2045</v>
      </c>
      <c r="B102" s="28">
        <v>6962</v>
      </c>
      <c r="C102" s="28">
        <v>7195</v>
      </c>
      <c r="D102" t="s">
        <v>76</v>
      </c>
    </row>
    <row r="103" spans="1:4" x14ac:dyDescent="0.25">
      <c r="A103">
        <v>2026</v>
      </c>
      <c r="B103" s="28">
        <v>87633459</v>
      </c>
      <c r="C103" s="28">
        <v>8023578</v>
      </c>
      <c r="D103" t="s">
        <v>8</v>
      </c>
    </row>
    <row r="104" spans="1:4" x14ac:dyDescent="0.25">
      <c r="A104">
        <v>2027</v>
      </c>
      <c r="B104" s="28">
        <v>85300640</v>
      </c>
      <c r="C104" s="28">
        <v>8533158</v>
      </c>
      <c r="D104" t="s">
        <v>8</v>
      </c>
    </row>
    <row r="105" spans="1:4" x14ac:dyDescent="0.25">
      <c r="A105">
        <v>2028</v>
      </c>
      <c r="B105" s="28">
        <v>82282568</v>
      </c>
      <c r="C105" s="28">
        <v>8966119</v>
      </c>
      <c r="D105" t="s">
        <v>8</v>
      </c>
    </row>
    <row r="106" spans="1:4" x14ac:dyDescent="0.25">
      <c r="A106">
        <v>2029</v>
      </c>
      <c r="B106" s="28">
        <v>78611829</v>
      </c>
      <c r="C106" s="28">
        <v>9777974</v>
      </c>
      <c r="D106" t="s">
        <v>8</v>
      </c>
    </row>
    <row r="107" spans="1:4" x14ac:dyDescent="0.25">
      <c r="A107">
        <v>2030</v>
      </c>
      <c r="B107" s="28">
        <v>73852476</v>
      </c>
      <c r="C107" s="28">
        <v>10005591</v>
      </c>
      <c r="D107" t="s">
        <v>8</v>
      </c>
    </row>
    <row r="108" spans="1:4" x14ac:dyDescent="0.25">
      <c r="A108">
        <v>2031</v>
      </c>
      <c r="B108" s="28">
        <v>68534257</v>
      </c>
      <c r="C108" s="28">
        <v>10212386</v>
      </c>
      <c r="D108" t="s">
        <v>8</v>
      </c>
    </row>
    <row r="109" spans="1:4" x14ac:dyDescent="0.25">
      <c r="A109">
        <v>2032</v>
      </c>
      <c r="B109" s="28">
        <v>62640689</v>
      </c>
      <c r="C109" s="28">
        <v>9884491</v>
      </c>
      <c r="D109" t="s">
        <v>8</v>
      </c>
    </row>
    <row r="110" spans="1:4" x14ac:dyDescent="0.25">
      <c r="A110">
        <v>2033</v>
      </c>
      <c r="B110" s="28">
        <v>56685216</v>
      </c>
      <c r="C110" s="28">
        <v>9838460</v>
      </c>
      <c r="D110" t="s">
        <v>8</v>
      </c>
    </row>
    <row r="111" spans="1:4" x14ac:dyDescent="0.25">
      <c r="A111">
        <v>2034</v>
      </c>
      <c r="B111" s="28">
        <v>50372347</v>
      </c>
      <c r="C111" s="28">
        <v>9784159</v>
      </c>
      <c r="D111" t="s">
        <v>8</v>
      </c>
    </row>
    <row r="112" spans="1:4" x14ac:dyDescent="0.25">
      <c r="A112">
        <v>2035</v>
      </c>
      <c r="B112" s="28">
        <v>43686320</v>
      </c>
      <c r="C112" s="28">
        <v>9630749</v>
      </c>
      <c r="D112" t="s">
        <v>8</v>
      </c>
    </row>
    <row r="113" spans="1:4" x14ac:dyDescent="0.25">
      <c r="A113">
        <v>2036</v>
      </c>
      <c r="B113" s="28">
        <v>36704178</v>
      </c>
      <c r="C113" s="28">
        <v>8199485</v>
      </c>
      <c r="D113" t="s">
        <v>8</v>
      </c>
    </row>
    <row r="114" spans="1:4" x14ac:dyDescent="0.25">
      <c r="A114">
        <v>2037</v>
      </c>
      <c r="B114" s="28">
        <v>30726379</v>
      </c>
      <c r="C114" s="28">
        <v>6953255</v>
      </c>
      <c r="D114" t="s">
        <v>8</v>
      </c>
    </row>
    <row r="115" spans="1:4" x14ac:dyDescent="0.25">
      <c r="A115">
        <v>2038</v>
      </c>
      <c r="B115" s="28">
        <v>25629995</v>
      </c>
      <c r="C115" s="28">
        <v>5237993</v>
      </c>
      <c r="D115" t="s">
        <v>8</v>
      </c>
    </row>
    <row r="116" spans="1:4" x14ac:dyDescent="0.25">
      <c r="A116">
        <v>2039</v>
      </c>
      <c r="B116" s="28">
        <v>21959682</v>
      </c>
      <c r="C116" s="28">
        <v>4849691</v>
      </c>
      <c r="D116" t="s">
        <v>8</v>
      </c>
    </row>
    <row r="117" spans="1:4" x14ac:dyDescent="0.25">
      <c r="A117">
        <v>2040</v>
      </c>
      <c r="B117" s="28">
        <v>18441073</v>
      </c>
      <c r="C117" s="28">
        <v>4541393</v>
      </c>
      <c r="D117" t="s">
        <v>8</v>
      </c>
    </row>
    <row r="118" spans="1:4" x14ac:dyDescent="0.25">
      <c r="A118">
        <v>2041</v>
      </c>
      <c r="B118" s="28">
        <v>15001809</v>
      </c>
      <c r="C118" s="28">
        <v>4345714</v>
      </c>
      <c r="D118" t="s">
        <v>8</v>
      </c>
    </row>
    <row r="119" spans="1:4" x14ac:dyDescent="0.25">
      <c r="A119">
        <v>2042</v>
      </c>
      <c r="B119" s="28">
        <v>11530894</v>
      </c>
      <c r="C119" s="28">
        <v>3794358</v>
      </c>
      <c r="D119" t="s">
        <v>8</v>
      </c>
    </row>
    <row r="120" spans="1:4" x14ac:dyDescent="0.25">
      <c r="A120">
        <v>2043</v>
      </c>
      <c r="B120" s="28">
        <v>8393748</v>
      </c>
      <c r="C120" s="28">
        <v>3237388</v>
      </c>
      <c r="D120" t="s">
        <v>8</v>
      </c>
    </row>
    <row r="121" spans="1:4" x14ac:dyDescent="0.25">
      <c r="A121">
        <v>2044</v>
      </c>
      <c r="B121" s="28">
        <v>5618874</v>
      </c>
      <c r="C121" s="28">
        <v>4909856</v>
      </c>
      <c r="D121" t="s">
        <v>8</v>
      </c>
    </row>
    <row r="122" spans="1:4" x14ac:dyDescent="0.25">
      <c r="A122">
        <v>2045</v>
      </c>
      <c r="B122" s="28">
        <v>926907</v>
      </c>
      <c r="C122" s="28">
        <v>943505</v>
      </c>
      <c r="D122" t="s">
        <v>8</v>
      </c>
    </row>
    <row r="123" spans="1:4" x14ac:dyDescent="0.25">
      <c r="A123">
        <v>2046</v>
      </c>
      <c r="B123" s="28">
        <v>14881</v>
      </c>
      <c r="C123" s="28">
        <v>15379</v>
      </c>
      <c r="D123" t="s">
        <v>8</v>
      </c>
    </row>
  </sheetData>
  <hyperlinks>
    <hyperlink ref="F1" location="TOC" display="Back to TOC" xr:uid="{6EE8929D-A672-4661-AB2F-C81068A3D3E7}"/>
  </hyperlinks>
  <pageMargins left="0.75" right="0.75" top="1" bottom="1" header="0.5" footer="0.5"/>
  <drawing r:id="rId4"/>
  <tableParts count="1">
    <tablePart r:id="rId5"/>
  </tableParts>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R61"/>
  <sheetViews>
    <sheetView workbookViewId="0">
      <selection activeCell="R2" sqref="R2"/>
    </sheetView>
  </sheetViews>
  <sheetFormatPr defaultRowHeight="15" x14ac:dyDescent="0.25"/>
  <cols>
    <col min="1" max="1" width="19.7109375" customWidth="1"/>
    <col min="3" max="3" width="20.85546875" style="35" customWidth="1"/>
    <col min="4" max="4" width="17.140625" style="28" customWidth="1"/>
    <col min="5" max="5" width="24" customWidth="1"/>
    <col min="8" max="8" width="11.28515625" bestFit="1" customWidth="1"/>
    <col min="9" max="9" width="13.28515625" bestFit="1" customWidth="1"/>
    <col min="18" max="18" width="13.42578125" customWidth="1"/>
  </cols>
  <sheetData>
    <row r="1" spans="1:18" x14ac:dyDescent="0.25">
      <c r="A1" t="s">
        <v>43</v>
      </c>
      <c r="B1" t="s">
        <v>36</v>
      </c>
      <c r="C1" s="35" t="s">
        <v>77</v>
      </c>
      <c r="D1" s="28" t="s">
        <v>42</v>
      </c>
      <c r="E1" t="s">
        <v>0</v>
      </c>
    </row>
    <row r="2" spans="1:18" x14ac:dyDescent="0.25">
      <c r="A2" s="32">
        <v>41820</v>
      </c>
      <c r="B2">
        <v>2017</v>
      </c>
      <c r="C2" s="35">
        <v>0.19536000000000001</v>
      </c>
      <c r="D2" s="28">
        <v>1792383</v>
      </c>
      <c r="E2" t="s">
        <v>13</v>
      </c>
      <c r="R2" s="62" t="s">
        <v>131</v>
      </c>
    </row>
    <row r="3" spans="1:18" x14ac:dyDescent="0.25">
      <c r="A3" s="32">
        <v>42185</v>
      </c>
      <c r="B3">
        <v>2018</v>
      </c>
      <c r="C3" s="35">
        <v>0.19722999999999999</v>
      </c>
      <c r="D3" s="28">
        <v>2092601</v>
      </c>
      <c r="E3" t="s">
        <v>13</v>
      </c>
    </row>
    <row r="4" spans="1:18" x14ac:dyDescent="0.25">
      <c r="A4" s="32">
        <v>42551</v>
      </c>
      <c r="B4">
        <v>2019</v>
      </c>
      <c r="C4" s="35">
        <v>0.20555999999999999</v>
      </c>
      <c r="D4" s="28">
        <v>2498404</v>
      </c>
      <c r="E4" t="s">
        <v>13</v>
      </c>
    </row>
    <row r="5" spans="1:18" x14ac:dyDescent="0.25">
      <c r="A5" s="32">
        <v>42916</v>
      </c>
      <c r="B5">
        <v>2020</v>
      </c>
      <c r="C5" s="35">
        <v>0.21926999999999999</v>
      </c>
      <c r="D5" s="28">
        <v>2955657</v>
      </c>
      <c r="E5" t="s">
        <v>13</v>
      </c>
    </row>
    <row r="6" spans="1:18" x14ac:dyDescent="0.25">
      <c r="A6" s="32">
        <v>43281</v>
      </c>
      <c r="B6">
        <v>2021</v>
      </c>
      <c r="C6" s="35">
        <v>0.23674000000000001</v>
      </c>
      <c r="D6" s="28">
        <v>3306700</v>
      </c>
      <c r="E6" t="s">
        <v>13</v>
      </c>
      <c r="H6" s="37" t="s">
        <v>36</v>
      </c>
      <c r="I6" t="s">
        <v>84</v>
      </c>
    </row>
    <row r="7" spans="1:18" x14ac:dyDescent="0.25">
      <c r="A7" s="32">
        <v>43646</v>
      </c>
      <c r="B7">
        <v>2022</v>
      </c>
      <c r="C7" s="35">
        <v>0.23710000000000001</v>
      </c>
      <c r="D7" s="28">
        <v>3789412</v>
      </c>
      <c r="E7" t="s">
        <v>13</v>
      </c>
      <c r="H7">
        <v>2017</v>
      </c>
      <c r="I7" s="28">
        <v>1792383</v>
      </c>
    </row>
    <row r="8" spans="1:18" x14ac:dyDescent="0.25">
      <c r="A8" s="32">
        <v>44012</v>
      </c>
      <c r="B8">
        <v>2023</v>
      </c>
      <c r="C8" s="35">
        <v>0.23749999999999999</v>
      </c>
      <c r="D8" s="28">
        <v>4253080</v>
      </c>
      <c r="E8" t="s">
        <v>13</v>
      </c>
      <c r="H8">
        <v>2018</v>
      </c>
      <c r="I8" s="28">
        <v>2092601</v>
      </c>
    </row>
    <row r="9" spans="1:18" x14ac:dyDescent="0.25">
      <c r="A9" s="32">
        <v>44377</v>
      </c>
      <c r="B9">
        <v>2024</v>
      </c>
      <c r="C9" s="35">
        <v>0.27110000000000001</v>
      </c>
      <c r="D9" s="28">
        <v>4222686</v>
      </c>
      <c r="E9" t="s">
        <v>13</v>
      </c>
      <c r="H9">
        <v>2019</v>
      </c>
      <c r="I9" s="28">
        <v>2498404</v>
      </c>
    </row>
    <row r="10" spans="1:18" x14ac:dyDescent="0.25">
      <c r="A10" s="32">
        <v>44742</v>
      </c>
      <c r="B10">
        <v>2025</v>
      </c>
      <c r="C10" s="35">
        <v>0.2732</v>
      </c>
      <c r="D10" s="28">
        <v>4912212</v>
      </c>
      <c r="E10" t="s">
        <v>13</v>
      </c>
      <c r="H10">
        <v>2020</v>
      </c>
      <c r="I10" s="28">
        <v>2955657</v>
      </c>
    </row>
    <row r="11" spans="1:18" x14ac:dyDescent="0.25">
      <c r="A11" s="32">
        <v>45107</v>
      </c>
      <c r="B11">
        <v>2026</v>
      </c>
      <c r="C11" s="35">
        <v>0.27379999999999999</v>
      </c>
      <c r="D11" s="28">
        <v>5496179</v>
      </c>
      <c r="E11" t="s">
        <v>13</v>
      </c>
      <c r="H11">
        <v>2021</v>
      </c>
      <c r="I11" s="28">
        <v>3306700</v>
      </c>
    </row>
    <row r="12" spans="1:18" x14ac:dyDescent="0.25">
      <c r="A12" s="32">
        <v>41820</v>
      </c>
      <c r="B12">
        <v>2017</v>
      </c>
      <c r="C12" s="35">
        <v>0.11634</v>
      </c>
      <c r="D12" s="28">
        <v>960574</v>
      </c>
      <c r="E12" t="s">
        <v>74</v>
      </c>
      <c r="H12">
        <v>2022</v>
      </c>
      <c r="I12" s="28">
        <v>3789412</v>
      </c>
    </row>
    <row r="13" spans="1:18" x14ac:dyDescent="0.25">
      <c r="A13" s="32">
        <v>42185</v>
      </c>
      <c r="B13">
        <v>2018</v>
      </c>
      <c r="C13" s="35">
        <v>0.11675000000000001</v>
      </c>
      <c r="D13" s="28">
        <v>1075481</v>
      </c>
      <c r="E13" t="s">
        <v>74</v>
      </c>
      <c r="H13">
        <v>2023</v>
      </c>
      <c r="I13" s="28">
        <v>4253080</v>
      </c>
    </row>
    <row r="14" spans="1:18" x14ac:dyDescent="0.25">
      <c r="A14" s="32">
        <v>42551</v>
      </c>
      <c r="B14">
        <v>2019</v>
      </c>
      <c r="C14" s="35">
        <v>0.12212000000000001</v>
      </c>
      <c r="D14" s="28">
        <v>1231229</v>
      </c>
      <c r="E14" t="s">
        <v>74</v>
      </c>
      <c r="H14">
        <v>2024</v>
      </c>
      <c r="I14" s="28">
        <v>4222686</v>
      </c>
    </row>
    <row r="15" spans="1:18" x14ac:dyDescent="0.25">
      <c r="A15" s="32">
        <v>42916</v>
      </c>
      <c r="B15">
        <v>2020</v>
      </c>
      <c r="C15" s="35">
        <v>0.13181999999999999</v>
      </c>
      <c r="D15" s="28">
        <v>1404112</v>
      </c>
      <c r="E15" t="s">
        <v>74</v>
      </c>
      <c r="H15">
        <v>2025</v>
      </c>
      <c r="I15" s="28">
        <v>4912212</v>
      </c>
    </row>
    <row r="16" spans="1:18" x14ac:dyDescent="0.25">
      <c r="A16" s="32">
        <v>43281</v>
      </c>
      <c r="B16">
        <v>2021</v>
      </c>
      <c r="C16" s="35">
        <v>0.14194000000000001</v>
      </c>
      <c r="D16" s="28">
        <v>1542149</v>
      </c>
      <c r="E16" t="s">
        <v>74</v>
      </c>
      <c r="H16">
        <v>2026</v>
      </c>
      <c r="I16" s="28">
        <v>5496179</v>
      </c>
    </row>
    <row r="17" spans="1:9" x14ac:dyDescent="0.25">
      <c r="A17" s="32">
        <v>43646</v>
      </c>
      <c r="B17">
        <v>2022</v>
      </c>
      <c r="C17" s="35">
        <v>0.14019999999999999</v>
      </c>
      <c r="D17" s="28">
        <v>1734419</v>
      </c>
      <c r="E17" t="s">
        <v>74</v>
      </c>
      <c r="H17" t="s">
        <v>83</v>
      </c>
      <c r="I17" s="28">
        <v>35319314</v>
      </c>
    </row>
    <row r="18" spans="1:9" x14ac:dyDescent="0.25">
      <c r="A18" s="32">
        <v>44012</v>
      </c>
      <c r="B18">
        <v>2023</v>
      </c>
      <c r="C18" s="35">
        <v>0.14030000000000001</v>
      </c>
      <c r="D18" s="28">
        <v>1926454</v>
      </c>
      <c r="E18" t="s">
        <v>74</v>
      </c>
    </row>
    <row r="19" spans="1:9" x14ac:dyDescent="0.25">
      <c r="A19" s="32">
        <v>44377</v>
      </c>
      <c r="B19">
        <v>2024</v>
      </c>
      <c r="C19" s="35">
        <v>0.1595</v>
      </c>
      <c r="D19" s="28">
        <v>1896880</v>
      </c>
      <c r="E19" t="s">
        <v>74</v>
      </c>
    </row>
    <row r="20" spans="1:9" x14ac:dyDescent="0.25">
      <c r="A20" s="32">
        <v>44742</v>
      </c>
      <c r="B20">
        <v>2025</v>
      </c>
      <c r="C20" s="35">
        <v>0.16020000000000001</v>
      </c>
      <c r="D20" s="28">
        <v>2173814</v>
      </c>
      <c r="E20" t="s">
        <v>74</v>
      </c>
    </row>
    <row r="21" spans="1:9" x14ac:dyDescent="0.25">
      <c r="A21" s="32">
        <v>45107</v>
      </c>
      <c r="B21">
        <v>2026</v>
      </c>
      <c r="C21" s="35">
        <v>0.16089999999999999</v>
      </c>
      <c r="D21" s="28">
        <v>2430053</v>
      </c>
      <c r="E21" t="s">
        <v>74</v>
      </c>
    </row>
    <row r="22" spans="1:9" x14ac:dyDescent="0.25">
      <c r="A22" s="32">
        <v>41820</v>
      </c>
      <c r="B22">
        <v>2017</v>
      </c>
      <c r="C22" s="35">
        <v>0.12082</v>
      </c>
      <c r="D22" s="28">
        <v>501</v>
      </c>
      <c r="E22" t="s">
        <v>75</v>
      </c>
    </row>
    <row r="23" spans="1:9" x14ac:dyDescent="0.25">
      <c r="A23" s="32">
        <v>42185</v>
      </c>
      <c r="B23">
        <v>2018</v>
      </c>
      <c r="C23" s="35">
        <v>0.11990000000000001</v>
      </c>
      <c r="D23" s="28">
        <v>1057</v>
      </c>
      <c r="E23" t="s">
        <v>75</v>
      </c>
    </row>
    <row r="24" spans="1:9" x14ac:dyDescent="0.25">
      <c r="A24" s="32">
        <v>42551</v>
      </c>
      <c r="B24">
        <v>2019</v>
      </c>
      <c r="C24" s="35">
        <v>0.12141</v>
      </c>
      <c r="D24" s="28">
        <v>1282</v>
      </c>
      <c r="E24" t="s">
        <v>75</v>
      </c>
    </row>
    <row r="25" spans="1:9" x14ac:dyDescent="0.25">
      <c r="A25" s="32">
        <v>42916</v>
      </c>
      <c r="B25">
        <v>2020</v>
      </c>
      <c r="C25" s="35">
        <v>0.13034000000000001</v>
      </c>
      <c r="D25" s="28">
        <v>1813</v>
      </c>
      <c r="E25" t="s">
        <v>75</v>
      </c>
    </row>
    <row r="26" spans="1:9" x14ac:dyDescent="0.25">
      <c r="A26" s="32">
        <v>43281</v>
      </c>
      <c r="B26">
        <v>2021</v>
      </c>
      <c r="C26" s="35">
        <v>0.13044</v>
      </c>
      <c r="D26" s="28">
        <v>2967</v>
      </c>
      <c r="E26" t="s">
        <v>75</v>
      </c>
    </row>
    <row r="27" spans="1:9" x14ac:dyDescent="0.25">
      <c r="A27" s="32">
        <v>43646</v>
      </c>
      <c r="B27">
        <v>2022</v>
      </c>
      <c r="C27" s="35">
        <v>0.1313</v>
      </c>
      <c r="D27" s="28">
        <v>4677</v>
      </c>
      <c r="E27" t="s">
        <v>75</v>
      </c>
    </row>
    <row r="28" spans="1:9" x14ac:dyDescent="0.25">
      <c r="A28" s="32">
        <v>44012</v>
      </c>
      <c r="B28">
        <v>2023</v>
      </c>
      <c r="C28" s="35">
        <v>0.1278</v>
      </c>
      <c r="D28" s="28">
        <v>5282</v>
      </c>
      <c r="E28" t="s">
        <v>75</v>
      </c>
    </row>
    <row r="29" spans="1:9" x14ac:dyDescent="0.25">
      <c r="A29" s="32">
        <v>44377</v>
      </c>
      <c r="B29">
        <v>2024</v>
      </c>
      <c r="C29" s="35">
        <v>0.13539999999999999</v>
      </c>
      <c r="D29" s="28">
        <v>6845</v>
      </c>
      <c r="E29" t="s">
        <v>75</v>
      </c>
    </row>
    <row r="30" spans="1:9" x14ac:dyDescent="0.25">
      <c r="A30" s="32">
        <v>44742</v>
      </c>
      <c r="B30">
        <v>2025</v>
      </c>
      <c r="C30" s="35">
        <v>0.1376</v>
      </c>
      <c r="D30" s="28">
        <v>14343</v>
      </c>
      <c r="E30" t="s">
        <v>75</v>
      </c>
    </row>
    <row r="31" spans="1:9" x14ac:dyDescent="0.25">
      <c r="A31" s="32">
        <v>45107</v>
      </c>
      <c r="B31">
        <v>2026</v>
      </c>
      <c r="C31" s="35">
        <v>0.1399</v>
      </c>
      <c r="D31" s="28">
        <v>22609</v>
      </c>
      <c r="E31" t="s">
        <v>75</v>
      </c>
    </row>
    <row r="32" spans="1:9" x14ac:dyDescent="0.25">
      <c r="A32" s="32">
        <v>41820</v>
      </c>
      <c r="B32">
        <v>2017</v>
      </c>
      <c r="C32" s="35">
        <v>0.12082</v>
      </c>
      <c r="D32" s="28">
        <v>0</v>
      </c>
      <c r="E32" t="s">
        <v>40</v>
      </c>
    </row>
    <row r="33" spans="1:5" x14ac:dyDescent="0.25">
      <c r="A33" s="32">
        <v>42185</v>
      </c>
      <c r="B33">
        <v>2018</v>
      </c>
      <c r="C33" s="35">
        <v>0.11990000000000001</v>
      </c>
      <c r="D33" s="28">
        <v>60</v>
      </c>
      <c r="E33" t="s">
        <v>40</v>
      </c>
    </row>
    <row r="34" spans="1:5" x14ac:dyDescent="0.25">
      <c r="A34" s="32">
        <v>42551</v>
      </c>
      <c r="B34">
        <v>2019</v>
      </c>
      <c r="C34" s="35">
        <v>0.12141</v>
      </c>
      <c r="D34" s="28">
        <v>1212</v>
      </c>
      <c r="E34" t="s">
        <v>40</v>
      </c>
    </row>
    <row r="35" spans="1:5" x14ac:dyDescent="0.25">
      <c r="A35" s="32">
        <v>42916</v>
      </c>
      <c r="B35">
        <v>2020</v>
      </c>
      <c r="C35" s="35">
        <v>0.13034000000000001</v>
      </c>
      <c r="D35" s="28">
        <v>3276</v>
      </c>
      <c r="E35" t="s">
        <v>40</v>
      </c>
    </row>
    <row r="36" spans="1:5" x14ac:dyDescent="0.25">
      <c r="A36" s="32">
        <v>43281</v>
      </c>
      <c r="B36">
        <v>2021</v>
      </c>
      <c r="C36" s="35">
        <v>0.13044</v>
      </c>
      <c r="D36" s="28">
        <v>7125</v>
      </c>
      <c r="E36" t="s">
        <v>40</v>
      </c>
    </row>
    <row r="37" spans="1:5" x14ac:dyDescent="0.25">
      <c r="A37" s="32">
        <v>43646</v>
      </c>
      <c r="B37">
        <v>2022</v>
      </c>
      <c r="C37" s="35">
        <v>0.1313</v>
      </c>
      <c r="D37" s="28">
        <v>12105</v>
      </c>
      <c r="E37" t="s">
        <v>40</v>
      </c>
    </row>
    <row r="38" spans="1:5" x14ac:dyDescent="0.25">
      <c r="A38" s="32">
        <v>44012</v>
      </c>
      <c r="B38">
        <v>2023</v>
      </c>
      <c r="C38" s="35">
        <v>0.1278</v>
      </c>
      <c r="D38" s="28">
        <v>18246</v>
      </c>
      <c r="E38" t="s">
        <v>40</v>
      </c>
    </row>
    <row r="39" spans="1:5" x14ac:dyDescent="0.25">
      <c r="A39" s="32">
        <v>44377</v>
      </c>
      <c r="B39">
        <v>2024</v>
      </c>
      <c r="C39" s="35">
        <v>0.13539999999999999</v>
      </c>
      <c r="D39" s="28">
        <v>16978</v>
      </c>
      <c r="E39" t="s">
        <v>40</v>
      </c>
    </row>
    <row r="40" spans="1:5" x14ac:dyDescent="0.25">
      <c r="A40" s="32">
        <v>44742</v>
      </c>
      <c r="B40">
        <v>2025</v>
      </c>
      <c r="C40" s="35">
        <v>0.1376</v>
      </c>
      <c r="D40" s="28">
        <v>32768</v>
      </c>
      <c r="E40" t="s">
        <v>40</v>
      </c>
    </row>
    <row r="41" spans="1:5" x14ac:dyDescent="0.25">
      <c r="A41" s="32">
        <v>45107</v>
      </c>
      <c r="B41">
        <v>2026</v>
      </c>
      <c r="C41" s="35">
        <v>0.1399</v>
      </c>
      <c r="D41" s="28">
        <v>50642</v>
      </c>
      <c r="E41" t="s">
        <v>40</v>
      </c>
    </row>
    <row r="42" spans="1:5" x14ac:dyDescent="0.25">
      <c r="A42" s="32">
        <v>41820</v>
      </c>
      <c r="B42">
        <v>2017</v>
      </c>
      <c r="C42" s="35">
        <v>6.5549999999999997E-2</v>
      </c>
      <c r="D42" s="28">
        <v>105</v>
      </c>
      <c r="E42" t="s">
        <v>76</v>
      </c>
    </row>
    <row r="43" spans="1:5" x14ac:dyDescent="0.25">
      <c r="A43" s="32">
        <v>42185</v>
      </c>
      <c r="B43">
        <v>2018</v>
      </c>
      <c r="C43" s="35">
        <v>6.5329999999999999E-2</v>
      </c>
      <c r="D43" s="28">
        <v>1306</v>
      </c>
      <c r="E43" t="s">
        <v>76</v>
      </c>
    </row>
    <row r="44" spans="1:5" x14ac:dyDescent="0.25">
      <c r="A44" s="32">
        <v>42551</v>
      </c>
      <c r="B44">
        <v>2019</v>
      </c>
      <c r="C44" s="35">
        <v>6.8419999999999995E-2</v>
      </c>
      <c r="D44" s="28">
        <v>1846</v>
      </c>
      <c r="E44" t="s">
        <v>76</v>
      </c>
    </row>
    <row r="45" spans="1:5" x14ac:dyDescent="0.25">
      <c r="A45" s="32">
        <v>42916</v>
      </c>
      <c r="B45">
        <v>2020</v>
      </c>
      <c r="C45" s="35">
        <v>6.9849999999999995E-2</v>
      </c>
      <c r="D45" s="28">
        <v>2729</v>
      </c>
      <c r="E45" t="s">
        <v>76</v>
      </c>
    </row>
    <row r="46" spans="1:5" x14ac:dyDescent="0.25">
      <c r="A46" s="32">
        <v>43281</v>
      </c>
      <c r="B46">
        <v>2021</v>
      </c>
      <c r="C46" s="35">
        <v>7.732E-2</v>
      </c>
      <c r="D46" s="28">
        <v>4523</v>
      </c>
      <c r="E46" t="s">
        <v>76</v>
      </c>
    </row>
    <row r="47" spans="1:5" x14ac:dyDescent="0.25">
      <c r="A47" s="32">
        <v>43646</v>
      </c>
      <c r="B47">
        <v>2022</v>
      </c>
      <c r="C47" s="35">
        <v>7.5899999999999995E-2</v>
      </c>
      <c r="D47" s="28">
        <v>6971</v>
      </c>
      <c r="E47" t="s">
        <v>76</v>
      </c>
    </row>
    <row r="48" spans="1:5" x14ac:dyDescent="0.25">
      <c r="A48" s="32">
        <v>44012</v>
      </c>
      <c r="B48">
        <v>2023</v>
      </c>
      <c r="C48" s="35">
        <v>7.4700000000000003E-2</v>
      </c>
      <c r="D48" s="28">
        <v>8869</v>
      </c>
      <c r="E48" t="s">
        <v>76</v>
      </c>
    </row>
    <row r="49" spans="1:5" x14ac:dyDescent="0.25">
      <c r="A49" s="32">
        <v>44377</v>
      </c>
      <c r="B49">
        <v>2024</v>
      </c>
      <c r="C49" s="35">
        <v>7.6799999999999993E-2</v>
      </c>
      <c r="D49" s="28">
        <v>0</v>
      </c>
      <c r="E49" t="s">
        <v>76</v>
      </c>
    </row>
    <row r="50" spans="1:5" x14ac:dyDescent="0.25">
      <c r="A50" s="32">
        <v>44742</v>
      </c>
      <c r="B50">
        <v>2025</v>
      </c>
      <c r="C50" s="35">
        <v>7.8700000000000006E-2</v>
      </c>
      <c r="D50" s="28">
        <v>11099</v>
      </c>
      <c r="E50" t="s">
        <v>76</v>
      </c>
    </row>
    <row r="51" spans="1:5" x14ac:dyDescent="0.25">
      <c r="A51" s="32">
        <v>45107</v>
      </c>
      <c r="B51">
        <v>2026</v>
      </c>
      <c r="C51" s="35">
        <v>7.9600000000000004E-2</v>
      </c>
      <c r="D51" s="28">
        <v>24095</v>
      </c>
      <c r="E51" t="s">
        <v>76</v>
      </c>
    </row>
    <row r="52" spans="1:5" x14ac:dyDescent="0.25">
      <c r="A52" s="32">
        <v>41820</v>
      </c>
      <c r="B52">
        <v>2017</v>
      </c>
      <c r="D52" s="28">
        <v>2753563</v>
      </c>
      <c r="E52" t="s">
        <v>8</v>
      </c>
    </row>
    <row r="53" spans="1:5" x14ac:dyDescent="0.25">
      <c r="A53" s="32">
        <v>42185</v>
      </c>
      <c r="B53">
        <v>2018</v>
      </c>
      <c r="D53" s="28">
        <v>3170505</v>
      </c>
      <c r="E53" t="s">
        <v>8</v>
      </c>
    </row>
    <row r="54" spans="1:5" x14ac:dyDescent="0.25">
      <c r="A54" s="32">
        <v>42551</v>
      </c>
      <c r="B54">
        <v>2019</v>
      </c>
      <c r="D54" s="28">
        <v>3733973</v>
      </c>
      <c r="E54" t="s">
        <v>8</v>
      </c>
    </row>
    <row r="55" spans="1:5" x14ac:dyDescent="0.25">
      <c r="A55" s="32">
        <v>42916</v>
      </c>
      <c r="B55">
        <v>2020</v>
      </c>
      <c r="D55" s="28">
        <v>4367587</v>
      </c>
      <c r="E55" t="s">
        <v>8</v>
      </c>
    </row>
    <row r="56" spans="1:5" x14ac:dyDescent="0.25">
      <c r="A56" s="32">
        <v>43281</v>
      </c>
      <c r="B56">
        <v>2021</v>
      </c>
      <c r="D56" s="28">
        <v>4863464</v>
      </c>
      <c r="E56" t="s">
        <v>8</v>
      </c>
    </row>
    <row r="57" spans="1:5" x14ac:dyDescent="0.25">
      <c r="A57" s="32">
        <v>43646</v>
      </c>
      <c r="B57">
        <v>2022</v>
      </c>
      <c r="D57" s="28">
        <v>5547584</v>
      </c>
      <c r="E57" t="s">
        <v>8</v>
      </c>
    </row>
    <row r="58" spans="1:5" x14ac:dyDescent="0.25">
      <c r="A58" s="32">
        <v>44012</v>
      </c>
      <c r="B58">
        <v>2023</v>
      </c>
      <c r="D58" s="28">
        <v>6211931</v>
      </c>
      <c r="E58" t="s">
        <v>8</v>
      </c>
    </row>
    <row r="59" spans="1:5" x14ac:dyDescent="0.25">
      <c r="A59" s="32">
        <v>44377</v>
      </c>
      <c r="B59">
        <v>2024</v>
      </c>
      <c r="D59" s="28">
        <v>6143389</v>
      </c>
      <c r="E59" t="s">
        <v>8</v>
      </c>
    </row>
    <row r="60" spans="1:5" x14ac:dyDescent="0.25">
      <c r="A60" s="32">
        <v>44742</v>
      </c>
      <c r="B60">
        <v>2025</v>
      </c>
      <c r="D60" s="28">
        <v>7144236</v>
      </c>
      <c r="E60" t="s">
        <v>8</v>
      </c>
    </row>
    <row r="61" spans="1:5" x14ac:dyDescent="0.25">
      <c r="A61" s="32">
        <v>45107</v>
      </c>
      <c r="B61">
        <v>2026</v>
      </c>
      <c r="D61" s="28">
        <v>8023578</v>
      </c>
      <c r="E61" t="s">
        <v>8</v>
      </c>
    </row>
  </sheetData>
  <hyperlinks>
    <hyperlink ref="R2" location="TOC" display="Back to TOC" xr:uid="{AA1CBB9E-3520-45CC-90E8-FEA5DAD40BCB}"/>
  </hyperlinks>
  <pageMargins left="0.75" right="0.75" top="1" bottom="1" header="0.5" footer="0.5"/>
  <drawing r:id="rId2"/>
  <tableParts count="1">
    <tablePart r:id="rId3"/>
  </tableParts>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I21"/>
  <sheetViews>
    <sheetView workbookViewId="0">
      <selection activeCell="I1" sqref="I1"/>
    </sheetView>
  </sheetViews>
  <sheetFormatPr defaultRowHeight="15" x14ac:dyDescent="0.25"/>
  <cols>
    <col min="1" max="1" width="18.42578125" customWidth="1"/>
    <col min="2" max="2" width="25.28515625" customWidth="1"/>
    <col min="3" max="3" width="43.140625" customWidth="1"/>
    <col min="4" max="4" width="32" bestFit="1" customWidth="1"/>
    <col min="5" max="5" width="19.7109375" customWidth="1"/>
    <col min="6" max="6" width="23.140625" bestFit="1" customWidth="1"/>
    <col min="7" max="7" width="13.140625" bestFit="1" customWidth="1"/>
  </cols>
  <sheetData>
    <row r="1" spans="1:9" x14ac:dyDescent="0.25">
      <c r="A1" s="7" t="s">
        <v>43</v>
      </c>
      <c r="B1" s="8" t="s">
        <v>44</v>
      </c>
      <c r="C1" s="8" t="s">
        <v>45</v>
      </c>
      <c r="D1" s="8" t="s">
        <v>46</v>
      </c>
      <c r="E1" s="17" t="s">
        <v>47</v>
      </c>
      <c r="F1" s="9" t="s">
        <v>48</v>
      </c>
      <c r="G1" s="16" t="s">
        <v>0</v>
      </c>
      <c r="I1" s="62" t="s">
        <v>131</v>
      </c>
    </row>
    <row r="2" spans="1:9" x14ac:dyDescent="0.25">
      <c r="A2" s="10">
        <v>41820</v>
      </c>
      <c r="B2" s="2">
        <v>111959814</v>
      </c>
      <c r="C2" s="2">
        <v>83778367</v>
      </c>
      <c r="D2" s="2">
        <v>28181447</v>
      </c>
      <c r="E2" s="18">
        <v>0.748</v>
      </c>
      <c r="F2" s="3">
        <v>7916094</v>
      </c>
      <c r="G2" t="s">
        <v>13</v>
      </c>
    </row>
    <row r="3" spans="1:9" x14ac:dyDescent="0.25">
      <c r="A3" s="11">
        <v>42185</v>
      </c>
      <c r="B3" s="5">
        <v>115010168</v>
      </c>
      <c r="C3" s="5">
        <v>81703497</v>
      </c>
      <c r="D3" s="5">
        <v>33306671</v>
      </c>
      <c r="E3" s="19">
        <v>0.71</v>
      </c>
      <c r="F3" s="6">
        <v>7504349</v>
      </c>
      <c r="G3" t="s">
        <v>13</v>
      </c>
    </row>
    <row r="4" spans="1:9" x14ac:dyDescent="0.25">
      <c r="A4" s="10">
        <v>42551</v>
      </c>
      <c r="B4" s="2">
        <v>121203599</v>
      </c>
      <c r="C4" s="2">
        <v>80358400</v>
      </c>
      <c r="D4" s="2">
        <v>40845199</v>
      </c>
      <c r="E4" s="18">
        <v>0.66300000000000003</v>
      </c>
      <c r="F4" s="3">
        <v>7254709</v>
      </c>
      <c r="G4" t="s">
        <v>13</v>
      </c>
    </row>
    <row r="5" spans="1:9" x14ac:dyDescent="0.25">
      <c r="A5" s="11">
        <v>42916</v>
      </c>
      <c r="B5" s="5">
        <v>128583157</v>
      </c>
      <c r="C5" s="5">
        <v>86999870</v>
      </c>
      <c r="D5" s="5">
        <v>41583287</v>
      </c>
      <c r="E5" s="19">
        <v>0.67700000000000005</v>
      </c>
      <c r="F5" s="6">
        <v>7158298</v>
      </c>
      <c r="G5" t="s">
        <v>13</v>
      </c>
    </row>
    <row r="6" spans="1:9" x14ac:dyDescent="0.25">
      <c r="A6" s="10">
        <v>43281</v>
      </c>
      <c r="B6" s="2">
        <v>138612535</v>
      </c>
      <c r="C6" s="2">
        <v>91780070</v>
      </c>
      <c r="D6" s="2">
        <v>46832465</v>
      </c>
      <c r="E6" s="18">
        <v>0.66200000000000003</v>
      </c>
      <c r="F6" s="3">
        <v>7353844</v>
      </c>
      <c r="G6" t="s">
        <v>13</v>
      </c>
    </row>
    <row r="7" spans="1:9" x14ac:dyDescent="0.25">
      <c r="A7" s="11">
        <v>43646</v>
      </c>
      <c r="B7" s="5">
        <v>146218995</v>
      </c>
      <c r="C7" s="5">
        <v>97388993</v>
      </c>
      <c r="D7" s="5">
        <v>48830002</v>
      </c>
      <c r="E7" s="19">
        <v>0.66600000000000004</v>
      </c>
      <c r="F7" s="6">
        <v>6956438</v>
      </c>
      <c r="G7" t="s">
        <v>13</v>
      </c>
    </row>
    <row r="8" spans="1:9" x14ac:dyDescent="0.25">
      <c r="A8" s="10">
        <v>44012</v>
      </c>
      <c r="B8" s="2">
        <v>151566930</v>
      </c>
      <c r="C8" s="2">
        <v>99468323</v>
      </c>
      <c r="D8" s="2">
        <v>52098607</v>
      </c>
      <c r="E8" s="18">
        <v>0.65600000000000003</v>
      </c>
      <c r="F8" s="3">
        <v>6926350</v>
      </c>
      <c r="G8" t="s">
        <v>13</v>
      </c>
    </row>
    <row r="9" spans="1:9" x14ac:dyDescent="0.25">
      <c r="A9" s="11">
        <v>44377</v>
      </c>
      <c r="B9" s="5">
        <v>161290875</v>
      </c>
      <c r="C9" s="5">
        <v>120388390</v>
      </c>
      <c r="D9" s="5">
        <v>40902485</v>
      </c>
      <c r="E9" s="19">
        <v>0.746</v>
      </c>
      <c r="F9" s="6">
        <v>6348470</v>
      </c>
      <c r="G9" t="s">
        <v>13</v>
      </c>
    </row>
    <row r="10" spans="1:9" x14ac:dyDescent="0.25">
      <c r="A10" s="10">
        <v>44742</v>
      </c>
      <c r="B10" s="2">
        <v>168023634</v>
      </c>
      <c r="C10" s="2">
        <v>108398918</v>
      </c>
      <c r="D10" s="2">
        <v>59624716</v>
      </c>
      <c r="E10" s="18">
        <v>0.64500000000000002</v>
      </c>
      <c r="F10" s="3">
        <v>5646026</v>
      </c>
      <c r="G10" t="s">
        <v>13</v>
      </c>
    </row>
    <row r="11" spans="1:9" x14ac:dyDescent="0.25">
      <c r="A11" s="13">
        <v>45107</v>
      </c>
      <c r="B11" s="14">
        <v>173318081</v>
      </c>
      <c r="C11" s="14">
        <v>110862862</v>
      </c>
      <c r="D11" s="14">
        <v>62455219</v>
      </c>
      <c r="E11" s="20">
        <v>0.64</v>
      </c>
      <c r="F11" s="15">
        <v>5618797</v>
      </c>
      <c r="G11" t="s">
        <v>13</v>
      </c>
    </row>
    <row r="12" spans="1:9" x14ac:dyDescent="0.25">
      <c r="A12" s="10">
        <v>41820</v>
      </c>
      <c r="B12" s="2">
        <v>46959878</v>
      </c>
      <c r="C12" s="2">
        <v>33698514</v>
      </c>
      <c r="D12" s="2">
        <v>13261364</v>
      </c>
      <c r="E12" s="18">
        <v>0.71799999999999997</v>
      </c>
      <c r="F12" s="3">
        <v>5046833</v>
      </c>
      <c r="G12" t="s">
        <v>23</v>
      </c>
    </row>
    <row r="13" spans="1:9" x14ac:dyDescent="0.25">
      <c r="A13" s="11">
        <v>42185</v>
      </c>
      <c r="B13" s="5">
        <v>47489811</v>
      </c>
      <c r="C13" s="5">
        <v>32338793</v>
      </c>
      <c r="D13" s="5">
        <v>15151018</v>
      </c>
      <c r="E13" s="19">
        <v>0.68100000000000005</v>
      </c>
      <c r="F13" s="6">
        <v>4590461</v>
      </c>
      <c r="G13" t="s">
        <v>23</v>
      </c>
    </row>
    <row r="14" spans="1:9" x14ac:dyDescent="0.25">
      <c r="A14" s="10">
        <v>42551</v>
      </c>
      <c r="B14" s="2">
        <v>49777692</v>
      </c>
      <c r="C14" s="2">
        <v>31687182</v>
      </c>
      <c r="D14" s="2">
        <v>18090510</v>
      </c>
      <c r="E14" s="18">
        <v>0.63700000000000001</v>
      </c>
      <c r="F14" s="3">
        <v>4863691</v>
      </c>
      <c r="G14" t="s">
        <v>23</v>
      </c>
    </row>
    <row r="15" spans="1:9" x14ac:dyDescent="0.25">
      <c r="A15" s="11">
        <v>42916</v>
      </c>
      <c r="B15" s="5">
        <v>52784582</v>
      </c>
      <c r="C15" s="5">
        <v>34734477</v>
      </c>
      <c r="D15" s="5">
        <v>18050105</v>
      </c>
      <c r="E15" s="19">
        <v>0.65800000000000003</v>
      </c>
      <c r="F15" s="6">
        <v>4872517</v>
      </c>
      <c r="G15" t="s">
        <v>23</v>
      </c>
    </row>
    <row r="16" spans="1:9" x14ac:dyDescent="0.25">
      <c r="A16" s="10">
        <v>43281</v>
      </c>
      <c r="B16" s="2">
        <v>57323516</v>
      </c>
      <c r="C16" s="2">
        <v>37269868</v>
      </c>
      <c r="D16" s="2">
        <v>20053648</v>
      </c>
      <c r="E16" s="18">
        <v>0.65</v>
      </c>
      <c r="F16" s="3">
        <v>4978297</v>
      </c>
      <c r="G16" t="s">
        <v>23</v>
      </c>
    </row>
    <row r="17" spans="1:7" x14ac:dyDescent="0.25">
      <c r="A17" s="11">
        <v>43646</v>
      </c>
      <c r="B17" s="5">
        <v>60510884</v>
      </c>
      <c r="C17" s="5">
        <v>39820379</v>
      </c>
      <c r="D17" s="5">
        <v>20690505</v>
      </c>
      <c r="E17" s="19">
        <v>0.65800000000000003</v>
      </c>
      <c r="F17" s="6">
        <v>5020297</v>
      </c>
      <c r="G17" t="s">
        <v>23</v>
      </c>
    </row>
    <row r="18" spans="1:7" x14ac:dyDescent="0.25">
      <c r="A18" s="10">
        <v>44012</v>
      </c>
      <c r="B18" s="2">
        <v>63353262</v>
      </c>
      <c r="C18" s="2">
        <v>41449011</v>
      </c>
      <c r="D18" s="2">
        <v>21904251</v>
      </c>
      <c r="E18" s="18">
        <v>0.65400000000000003</v>
      </c>
      <c r="F18" s="3">
        <v>5099164</v>
      </c>
      <c r="G18" t="s">
        <v>23</v>
      </c>
    </row>
    <row r="19" spans="1:7" x14ac:dyDescent="0.25">
      <c r="A19" s="11">
        <v>44377</v>
      </c>
      <c r="B19" s="5">
        <v>65705040</v>
      </c>
      <c r="C19" s="5">
        <v>48704943</v>
      </c>
      <c r="D19" s="5">
        <v>17000097</v>
      </c>
      <c r="E19" s="19">
        <v>0.74099999999999999</v>
      </c>
      <c r="F19" s="6">
        <v>4060139</v>
      </c>
      <c r="G19" t="s">
        <v>23</v>
      </c>
    </row>
    <row r="20" spans="1:7" x14ac:dyDescent="0.25">
      <c r="A20" s="10">
        <v>44742</v>
      </c>
      <c r="B20" s="2">
        <v>67921787</v>
      </c>
      <c r="C20" s="2">
        <v>43660224</v>
      </c>
      <c r="D20" s="2">
        <v>24261563</v>
      </c>
      <c r="E20" s="18">
        <v>0.64300000000000002</v>
      </c>
      <c r="F20" s="3">
        <v>3961911</v>
      </c>
      <c r="G20" t="s">
        <v>23</v>
      </c>
    </row>
    <row r="21" spans="1:7" x14ac:dyDescent="0.25">
      <c r="A21" s="13">
        <v>45107</v>
      </c>
      <c r="B21" s="14">
        <v>70083838</v>
      </c>
      <c r="C21" s="14">
        <v>44724313</v>
      </c>
      <c r="D21" s="14">
        <v>25359525</v>
      </c>
      <c r="E21" s="20">
        <v>0.63800000000000001</v>
      </c>
      <c r="F21" s="15">
        <v>3768714</v>
      </c>
      <c r="G21" t="s">
        <v>23</v>
      </c>
    </row>
  </sheetData>
  <conditionalFormatting sqref="D2:D11">
    <cfRule type="colorScale" priority="2">
      <colorScale>
        <cfvo type="min"/>
        <cfvo type="percentile" val="50"/>
        <cfvo type="max"/>
        <color rgb="FF63BE7B"/>
        <color rgb="FFFFEB84"/>
        <color rgb="FFF8696B"/>
      </colorScale>
    </cfRule>
  </conditionalFormatting>
  <conditionalFormatting sqref="D12:D21">
    <cfRule type="colorScale" priority="1">
      <colorScale>
        <cfvo type="min"/>
        <cfvo type="percentile" val="50"/>
        <cfvo type="max"/>
        <color rgb="FF63BE7B"/>
        <color rgb="FFFFEB84"/>
        <color rgb="FFF8696B"/>
      </colorScale>
    </cfRule>
  </conditionalFormatting>
  <conditionalFormatting sqref="E2:E21">
    <cfRule type="colorScale" priority="3">
      <colorScale>
        <cfvo type="min"/>
        <cfvo type="percentile" val="50"/>
        <cfvo type="max"/>
        <color rgb="FFF8696B"/>
        <color rgb="FFFFEB84"/>
        <color rgb="FF63BE7B"/>
      </colorScale>
    </cfRule>
  </conditionalFormatting>
  <hyperlinks>
    <hyperlink ref="I1" location="TOC" display="Back to TOC" xr:uid="{46E64A3A-9CB9-41B9-960A-B971787A1478}"/>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R61"/>
  <sheetViews>
    <sheetView topLeftCell="D11" workbookViewId="0">
      <selection activeCell="R2" sqref="R2"/>
    </sheetView>
  </sheetViews>
  <sheetFormatPr defaultRowHeight="15" x14ac:dyDescent="0.25"/>
  <cols>
    <col min="1" max="1" width="17.28515625" bestFit="1" customWidth="1"/>
    <col min="3" max="3" width="22" style="28" customWidth="1"/>
    <col min="4" max="4" width="43" style="28" customWidth="1"/>
    <col min="5" max="5" width="32.5703125" style="28" customWidth="1"/>
    <col min="6" max="6" width="20" style="35" customWidth="1"/>
    <col min="7" max="7" width="24" style="28" customWidth="1"/>
    <col min="8" max="8" width="26.28515625" customWidth="1"/>
    <col min="11" max="11" width="5.42578125" bestFit="1" customWidth="1"/>
    <col min="12" max="12" width="20.5703125" bestFit="1" customWidth="1"/>
    <col min="13" max="13" width="31.5703125" bestFit="1" customWidth="1"/>
    <col min="14" max="14" width="12.85546875" bestFit="1" customWidth="1"/>
    <col min="18" max="18" width="13.140625" customWidth="1"/>
  </cols>
  <sheetData>
    <row r="1" spans="1:18" s="16" customFormat="1" x14ac:dyDescent="0.25">
      <c r="A1" s="16" t="s">
        <v>43</v>
      </c>
      <c r="B1" s="16" t="s">
        <v>36</v>
      </c>
      <c r="C1" s="38" t="s">
        <v>78</v>
      </c>
      <c r="D1" s="38" t="s">
        <v>79</v>
      </c>
      <c r="E1" s="38" t="s">
        <v>80</v>
      </c>
      <c r="F1" s="35" t="s">
        <v>47</v>
      </c>
      <c r="G1" s="38" t="s">
        <v>81</v>
      </c>
      <c r="H1" s="16" t="s">
        <v>0</v>
      </c>
    </row>
    <row r="2" spans="1:18" x14ac:dyDescent="0.25">
      <c r="A2" s="32">
        <v>41820</v>
      </c>
      <c r="B2">
        <v>2017</v>
      </c>
      <c r="C2" s="28">
        <v>111959814</v>
      </c>
      <c r="D2" s="28">
        <v>83778367</v>
      </c>
      <c r="E2" s="28">
        <v>28181447</v>
      </c>
      <c r="F2" s="35">
        <v>0.748</v>
      </c>
      <c r="G2" s="28">
        <v>7916094</v>
      </c>
      <c r="H2" t="s">
        <v>13</v>
      </c>
      <c r="R2" s="62" t="s">
        <v>131</v>
      </c>
    </row>
    <row r="3" spans="1:18" x14ac:dyDescent="0.25">
      <c r="A3" s="32">
        <v>42185</v>
      </c>
      <c r="B3">
        <v>2018</v>
      </c>
      <c r="C3" s="28">
        <v>115010168</v>
      </c>
      <c r="D3" s="28">
        <v>81703497</v>
      </c>
      <c r="E3" s="28">
        <v>33306671</v>
      </c>
      <c r="F3" s="35">
        <v>0.71</v>
      </c>
      <c r="G3" s="28">
        <v>7504349</v>
      </c>
      <c r="H3" t="s">
        <v>13</v>
      </c>
    </row>
    <row r="4" spans="1:18" x14ac:dyDescent="0.25">
      <c r="A4" s="32">
        <v>42551</v>
      </c>
      <c r="B4">
        <v>2019</v>
      </c>
      <c r="C4" s="28">
        <v>121203599</v>
      </c>
      <c r="D4" s="28">
        <v>80358400</v>
      </c>
      <c r="E4" s="28">
        <v>40845199</v>
      </c>
      <c r="F4" s="35">
        <v>0.66300000000000003</v>
      </c>
      <c r="G4" s="28">
        <v>7254709</v>
      </c>
      <c r="H4" t="s">
        <v>13</v>
      </c>
    </row>
    <row r="5" spans="1:18" x14ac:dyDescent="0.25">
      <c r="A5" s="32">
        <v>42916</v>
      </c>
      <c r="B5">
        <v>2020</v>
      </c>
      <c r="C5" s="28">
        <v>128583157</v>
      </c>
      <c r="D5" s="28">
        <v>86999870</v>
      </c>
      <c r="E5" s="28">
        <v>41583287</v>
      </c>
      <c r="F5" s="35">
        <v>0.67700000000000005</v>
      </c>
      <c r="G5" s="28">
        <v>7158298</v>
      </c>
      <c r="H5" t="s">
        <v>13</v>
      </c>
    </row>
    <row r="6" spans="1:18" x14ac:dyDescent="0.25">
      <c r="A6" s="32">
        <v>43281</v>
      </c>
      <c r="B6">
        <v>2021</v>
      </c>
      <c r="C6" s="28">
        <v>138612535</v>
      </c>
      <c r="D6" s="28">
        <v>91780070</v>
      </c>
      <c r="E6" s="28">
        <v>46832465</v>
      </c>
      <c r="F6" s="35">
        <v>0.66200000000000003</v>
      </c>
      <c r="G6" s="28">
        <v>7353844</v>
      </c>
      <c r="H6" t="s">
        <v>13</v>
      </c>
    </row>
    <row r="7" spans="1:18" x14ac:dyDescent="0.25">
      <c r="A7" s="32">
        <v>43646</v>
      </c>
      <c r="B7">
        <v>2022</v>
      </c>
      <c r="C7" s="28">
        <v>146218995</v>
      </c>
      <c r="D7" s="28">
        <v>97388993</v>
      </c>
      <c r="E7" s="28">
        <v>48830002</v>
      </c>
      <c r="F7" s="35">
        <v>0.66600000000000004</v>
      </c>
      <c r="G7" s="28">
        <v>6956438</v>
      </c>
      <c r="H7" t="s">
        <v>13</v>
      </c>
    </row>
    <row r="8" spans="1:18" x14ac:dyDescent="0.25">
      <c r="A8" s="32">
        <v>44012</v>
      </c>
      <c r="B8">
        <v>2023</v>
      </c>
      <c r="C8" s="28">
        <v>151566930</v>
      </c>
      <c r="D8" s="28">
        <v>99468323</v>
      </c>
      <c r="E8" s="28">
        <v>52098607</v>
      </c>
      <c r="F8" s="35">
        <v>0.65600000000000003</v>
      </c>
      <c r="G8" s="28">
        <v>6926350</v>
      </c>
      <c r="H8" t="s">
        <v>13</v>
      </c>
    </row>
    <row r="9" spans="1:18" x14ac:dyDescent="0.25">
      <c r="A9" s="32">
        <v>44377</v>
      </c>
      <c r="B9">
        <v>2024</v>
      </c>
      <c r="C9" s="28">
        <v>161290875</v>
      </c>
      <c r="D9" s="28">
        <v>120388390</v>
      </c>
      <c r="E9" s="28">
        <v>40902485</v>
      </c>
      <c r="F9" s="35">
        <v>0.746</v>
      </c>
      <c r="G9" s="28">
        <v>6348470</v>
      </c>
      <c r="H9" t="s">
        <v>13</v>
      </c>
      <c r="K9" s="37" t="s">
        <v>36</v>
      </c>
      <c r="L9" t="s">
        <v>124</v>
      </c>
      <c r="M9" t="s">
        <v>125</v>
      </c>
      <c r="N9" t="s">
        <v>82</v>
      </c>
    </row>
    <row r="10" spans="1:18" x14ac:dyDescent="0.25">
      <c r="A10" s="32">
        <v>44742</v>
      </c>
      <c r="B10">
        <v>2025</v>
      </c>
      <c r="C10" s="28">
        <v>168023634</v>
      </c>
      <c r="D10" s="28">
        <v>108398918</v>
      </c>
      <c r="E10" s="28">
        <v>59624716</v>
      </c>
      <c r="F10" s="35">
        <v>0.64500000000000002</v>
      </c>
      <c r="G10" s="28">
        <v>5646026</v>
      </c>
      <c r="H10" t="s">
        <v>13</v>
      </c>
      <c r="K10">
        <v>2017</v>
      </c>
      <c r="L10" s="28">
        <v>111959814</v>
      </c>
      <c r="M10" s="28">
        <v>28181447</v>
      </c>
      <c r="N10" s="53">
        <v>0.748</v>
      </c>
    </row>
    <row r="11" spans="1:18" x14ac:dyDescent="0.25">
      <c r="A11" s="32">
        <v>45107</v>
      </c>
      <c r="B11">
        <v>2026</v>
      </c>
      <c r="C11" s="28">
        <v>173318081</v>
      </c>
      <c r="D11" s="28">
        <v>110862862</v>
      </c>
      <c r="E11" s="28">
        <v>62455219</v>
      </c>
      <c r="F11" s="35">
        <v>0.64</v>
      </c>
      <c r="G11" s="28">
        <v>5618797</v>
      </c>
      <c r="H11" t="s">
        <v>13</v>
      </c>
      <c r="K11">
        <v>2018</v>
      </c>
      <c r="L11" s="28">
        <v>115010168</v>
      </c>
      <c r="M11" s="28">
        <v>33306671</v>
      </c>
      <c r="N11" s="53">
        <v>0.71</v>
      </c>
    </row>
    <row r="12" spans="1:18" x14ac:dyDescent="0.25">
      <c r="A12" s="32">
        <v>41820</v>
      </c>
      <c r="B12">
        <v>2017</v>
      </c>
      <c r="C12" s="28">
        <v>46959878</v>
      </c>
      <c r="D12" s="28">
        <v>33698514</v>
      </c>
      <c r="E12" s="28">
        <v>13261364</v>
      </c>
      <c r="F12" s="35">
        <v>0.71799999999999997</v>
      </c>
      <c r="G12" s="28">
        <v>5046833</v>
      </c>
      <c r="H12" t="s">
        <v>74</v>
      </c>
      <c r="K12">
        <v>2019</v>
      </c>
      <c r="L12" s="28">
        <v>121203599</v>
      </c>
      <c r="M12" s="28">
        <v>40845199</v>
      </c>
      <c r="N12" s="53">
        <v>0.66300000000000003</v>
      </c>
    </row>
    <row r="13" spans="1:18" x14ac:dyDescent="0.25">
      <c r="A13" s="32">
        <v>42185</v>
      </c>
      <c r="B13">
        <v>2018</v>
      </c>
      <c r="C13" s="28">
        <v>47489811</v>
      </c>
      <c r="D13" s="28">
        <v>32338793</v>
      </c>
      <c r="E13" s="28">
        <v>15151018</v>
      </c>
      <c r="F13" s="35">
        <v>0.68100000000000005</v>
      </c>
      <c r="G13" s="28">
        <v>4590461</v>
      </c>
      <c r="H13" t="s">
        <v>74</v>
      </c>
      <c r="K13">
        <v>2020</v>
      </c>
      <c r="L13" s="28">
        <v>128583157</v>
      </c>
      <c r="M13" s="28">
        <v>41583287</v>
      </c>
      <c r="N13" s="53">
        <v>0.67700000000000005</v>
      </c>
    </row>
    <row r="14" spans="1:18" x14ac:dyDescent="0.25">
      <c r="A14" s="32">
        <v>42551</v>
      </c>
      <c r="B14">
        <v>2019</v>
      </c>
      <c r="C14" s="28">
        <v>49777692</v>
      </c>
      <c r="D14" s="28">
        <v>31687182</v>
      </c>
      <c r="E14" s="28">
        <v>18090510</v>
      </c>
      <c r="F14" s="35">
        <v>0.63700000000000001</v>
      </c>
      <c r="G14" s="28">
        <v>4863691</v>
      </c>
      <c r="H14" t="s">
        <v>74</v>
      </c>
      <c r="K14">
        <v>2021</v>
      </c>
      <c r="L14" s="28">
        <v>138612535</v>
      </c>
      <c r="M14" s="28">
        <v>46832465</v>
      </c>
      <c r="N14" s="53">
        <v>0.66200000000000003</v>
      </c>
    </row>
    <row r="15" spans="1:18" x14ac:dyDescent="0.25">
      <c r="A15" s="32">
        <v>42916</v>
      </c>
      <c r="B15">
        <v>2020</v>
      </c>
      <c r="C15" s="28">
        <v>52784582</v>
      </c>
      <c r="D15" s="28">
        <v>34734477</v>
      </c>
      <c r="E15" s="28">
        <v>18050105</v>
      </c>
      <c r="F15" s="35">
        <v>0.65800000000000003</v>
      </c>
      <c r="G15" s="28">
        <v>4872517</v>
      </c>
      <c r="H15" t="s">
        <v>74</v>
      </c>
      <c r="K15">
        <v>2022</v>
      </c>
      <c r="L15" s="28">
        <v>146218995</v>
      </c>
      <c r="M15" s="28">
        <v>48830002</v>
      </c>
      <c r="N15" s="53">
        <v>0.66600000000000004</v>
      </c>
    </row>
    <row r="16" spans="1:18" x14ac:dyDescent="0.25">
      <c r="A16" s="32">
        <v>43281</v>
      </c>
      <c r="B16">
        <v>2021</v>
      </c>
      <c r="C16" s="28">
        <v>57323516</v>
      </c>
      <c r="D16" s="28">
        <v>37269868</v>
      </c>
      <c r="E16" s="28">
        <v>20053648</v>
      </c>
      <c r="F16" s="35">
        <v>0.65</v>
      </c>
      <c r="G16" s="28">
        <v>4978297</v>
      </c>
      <c r="H16" t="s">
        <v>74</v>
      </c>
      <c r="K16">
        <v>2023</v>
      </c>
      <c r="L16" s="28">
        <v>151566930</v>
      </c>
      <c r="M16" s="28">
        <v>52098607</v>
      </c>
      <c r="N16" s="53">
        <v>0.65600000000000003</v>
      </c>
    </row>
    <row r="17" spans="1:14" x14ac:dyDescent="0.25">
      <c r="A17" s="32">
        <v>43646</v>
      </c>
      <c r="B17">
        <v>2022</v>
      </c>
      <c r="C17" s="28">
        <v>60510884</v>
      </c>
      <c r="D17" s="28">
        <v>39820379</v>
      </c>
      <c r="E17" s="28">
        <v>20690505</v>
      </c>
      <c r="F17" s="35">
        <v>0.65800000000000003</v>
      </c>
      <c r="G17" s="28">
        <v>5020297</v>
      </c>
      <c r="H17" t="s">
        <v>74</v>
      </c>
      <c r="K17">
        <v>2024</v>
      </c>
      <c r="L17" s="28">
        <v>161290875</v>
      </c>
      <c r="M17" s="28">
        <v>40902485</v>
      </c>
      <c r="N17" s="53">
        <v>0.746</v>
      </c>
    </row>
    <row r="18" spans="1:14" x14ac:dyDescent="0.25">
      <c r="A18" s="32">
        <v>44012</v>
      </c>
      <c r="B18">
        <v>2023</v>
      </c>
      <c r="C18" s="28">
        <v>63353262</v>
      </c>
      <c r="D18" s="28">
        <v>41449011</v>
      </c>
      <c r="E18" s="28">
        <v>21904251</v>
      </c>
      <c r="F18" s="35">
        <v>0.65400000000000003</v>
      </c>
      <c r="G18" s="28">
        <v>5099164</v>
      </c>
      <c r="H18" t="s">
        <v>74</v>
      </c>
      <c r="K18">
        <v>2025</v>
      </c>
      <c r="L18" s="28">
        <v>168023634</v>
      </c>
      <c r="M18" s="28">
        <v>59624716</v>
      </c>
      <c r="N18" s="53">
        <v>0.64500000000000002</v>
      </c>
    </row>
    <row r="19" spans="1:14" x14ac:dyDescent="0.25">
      <c r="A19" s="32">
        <v>44377</v>
      </c>
      <c r="B19">
        <v>2024</v>
      </c>
      <c r="C19" s="28">
        <v>65705040</v>
      </c>
      <c r="D19" s="28">
        <v>48704943</v>
      </c>
      <c r="E19" s="28">
        <v>17000097</v>
      </c>
      <c r="F19" s="35">
        <v>0.74099999999999999</v>
      </c>
      <c r="G19" s="28">
        <v>4060139</v>
      </c>
      <c r="H19" t="s">
        <v>74</v>
      </c>
      <c r="K19">
        <v>2026</v>
      </c>
      <c r="L19" s="28">
        <v>173318081</v>
      </c>
      <c r="M19" s="28">
        <v>62455219</v>
      </c>
      <c r="N19" s="53">
        <v>0.64</v>
      </c>
    </row>
    <row r="20" spans="1:14" x14ac:dyDescent="0.25">
      <c r="A20" s="32">
        <v>44742</v>
      </c>
      <c r="B20">
        <v>2025</v>
      </c>
      <c r="C20" s="28">
        <v>67921787</v>
      </c>
      <c r="D20" s="28">
        <v>43660224</v>
      </c>
      <c r="E20" s="28">
        <v>24261563</v>
      </c>
      <c r="F20" s="35">
        <v>0.64300000000000002</v>
      </c>
      <c r="G20" s="28">
        <v>3961911</v>
      </c>
      <c r="H20" t="s">
        <v>74</v>
      </c>
    </row>
    <row r="21" spans="1:14" x14ac:dyDescent="0.25">
      <c r="A21" s="32">
        <v>45107</v>
      </c>
      <c r="B21">
        <v>2026</v>
      </c>
      <c r="C21" s="28">
        <v>70083838</v>
      </c>
      <c r="D21" s="28">
        <v>44724313</v>
      </c>
      <c r="E21" s="28">
        <v>25359525</v>
      </c>
      <c r="F21" s="35">
        <v>0.63800000000000001</v>
      </c>
      <c r="G21" s="28">
        <v>3768714</v>
      </c>
      <c r="H21" t="s">
        <v>74</v>
      </c>
    </row>
    <row r="22" spans="1:14" x14ac:dyDescent="0.25">
      <c r="A22" s="32">
        <v>41820</v>
      </c>
      <c r="B22">
        <v>2017</v>
      </c>
      <c r="C22" s="28">
        <v>34081</v>
      </c>
      <c r="D22" s="28">
        <v>35559</v>
      </c>
      <c r="E22" s="28">
        <v>-1478</v>
      </c>
      <c r="F22" s="35">
        <v>1.0429999999999999</v>
      </c>
      <c r="G22" s="28">
        <v>177928</v>
      </c>
      <c r="H22" t="s">
        <v>75</v>
      </c>
    </row>
    <row r="23" spans="1:14" x14ac:dyDescent="0.25">
      <c r="A23" s="32">
        <v>42185</v>
      </c>
      <c r="B23">
        <v>2018</v>
      </c>
      <c r="C23" s="28">
        <v>47385</v>
      </c>
      <c r="D23" s="28">
        <v>44669</v>
      </c>
      <c r="E23" s="28">
        <v>2716</v>
      </c>
      <c r="F23" s="35">
        <v>0.94299999999999995</v>
      </c>
      <c r="G23" s="28">
        <v>100525</v>
      </c>
      <c r="H23" t="s">
        <v>75</v>
      </c>
    </row>
    <row r="24" spans="1:14" x14ac:dyDescent="0.25">
      <c r="A24" s="32">
        <v>42551</v>
      </c>
      <c r="B24">
        <v>2019</v>
      </c>
      <c r="C24" s="28">
        <v>101234</v>
      </c>
      <c r="D24" s="28">
        <v>89312</v>
      </c>
      <c r="E24" s="28">
        <v>11922</v>
      </c>
      <c r="F24" s="35">
        <v>0.88200000000000001</v>
      </c>
      <c r="G24" s="28">
        <v>232675</v>
      </c>
      <c r="H24" t="s">
        <v>75</v>
      </c>
    </row>
    <row r="25" spans="1:14" x14ac:dyDescent="0.25">
      <c r="A25" s="32">
        <v>42916</v>
      </c>
      <c r="B25">
        <v>2020</v>
      </c>
      <c r="C25" s="28">
        <v>220456</v>
      </c>
      <c r="D25" s="28">
        <v>209018</v>
      </c>
      <c r="E25" s="28">
        <v>11438</v>
      </c>
      <c r="F25" s="35">
        <v>0.94799999999999995</v>
      </c>
      <c r="G25" s="28">
        <v>550581</v>
      </c>
      <c r="H25" t="s">
        <v>75</v>
      </c>
    </row>
    <row r="26" spans="1:14" x14ac:dyDescent="0.25">
      <c r="A26" s="32">
        <v>43281</v>
      </c>
      <c r="B26">
        <v>2021</v>
      </c>
      <c r="C26" s="28">
        <v>389350</v>
      </c>
      <c r="D26" s="28">
        <v>357340</v>
      </c>
      <c r="E26" s="28">
        <v>32010</v>
      </c>
      <c r="F26" s="35">
        <v>0.91800000000000004</v>
      </c>
      <c r="G26" s="28">
        <v>686356</v>
      </c>
      <c r="H26" t="s">
        <v>75</v>
      </c>
    </row>
    <row r="27" spans="1:14" x14ac:dyDescent="0.25">
      <c r="A27" s="32">
        <v>43646</v>
      </c>
      <c r="B27">
        <v>2022</v>
      </c>
      <c r="C27" s="28">
        <v>546388</v>
      </c>
      <c r="D27" s="28">
        <v>491118</v>
      </c>
      <c r="E27" s="28">
        <v>55270</v>
      </c>
      <c r="F27" s="35">
        <v>0.89900000000000002</v>
      </c>
      <c r="G27" s="28">
        <v>874387</v>
      </c>
      <c r="H27" t="s">
        <v>75</v>
      </c>
    </row>
    <row r="28" spans="1:14" x14ac:dyDescent="0.25">
      <c r="A28" s="32">
        <v>44012</v>
      </c>
      <c r="B28">
        <v>2023</v>
      </c>
      <c r="C28" s="28">
        <v>747033</v>
      </c>
      <c r="D28" s="28">
        <v>662140</v>
      </c>
      <c r="E28" s="28">
        <v>84893</v>
      </c>
      <c r="F28" s="35">
        <v>0.88600000000000001</v>
      </c>
      <c r="G28" s="28">
        <v>953643</v>
      </c>
      <c r="H28" t="s">
        <v>75</v>
      </c>
    </row>
    <row r="29" spans="1:14" x14ac:dyDescent="0.25">
      <c r="A29" s="32">
        <v>44377</v>
      </c>
      <c r="B29">
        <v>2024</v>
      </c>
      <c r="C29" s="28">
        <v>1128938</v>
      </c>
      <c r="D29" s="28">
        <v>1160902</v>
      </c>
      <c r="E29" s="28">
        <v>-31964</v>
      </c>
      <c r="F29" s="35">
        <v>1.028</v>
      </c>
      <c r="G29" s="28">
        <v>1401205</v>
      </c>
      <c r="H29" t="s">
        <v>75</v>
      </c>
    </row>
    <row r="30" spans="1:14" x14ac:dyDescent="0.25">
      <c r="A30" s="32">
        <v>44742</v>
      </c>
      <c r="B30">
        <v>2025</v>
      </c>
      <c r="C30" s="28">
        <v>1554626</v>
      </c>
      <c r="D30" s="28">
        <v>1325089</v>
      </c>
      <c r="E30" s="28">
        <v>229537</v>
      </c>
      <c r="F30" s="35">
        <v>0.85199999999999998</v>
      </c>
      <c r="G30" s="28">
        <v>1543365</v>
      </c>
      <c r="H30" t="s">
        <v>75</v>
      </c>
    </row>
    <row r="31" spans="1:14" x14ac:dyDescent="0.25">
      <c r="A31" s="32">
        <v>45107</v>
      </c>
      <c r="B31">
        <v>2026</v>
      </c>
      <c r="C31" s="28">
        <v>2121022</v>
      </c>
      <c r="D31" s="28">
        <v>1804317</v>
      </c>
      <c r="E31" s="28">
        <v>316705</v>
      </c>
      <c r="F31" s="35">
        <v>0.85099999999999998</v>
      </c>
      <c r="G31" s="28">
        <v>1762530</v>
      </c>
      <c r="H31" t="s">
        <v>75</v>
      </c>
    </row>
    <row r="32" spans="1:14" x14ac:dyDescent="0.25">
      <c r="A32" s="32">
        <v>41820</v>
      </c>
      <c r="B32">
        <v>2017</v>
      </c>
      <c r="C32" s="28">
        <v>77935</v>
      </c>
      <c r="D32" s="28">
        <v>86859</v>
      </c>
      <c r="E32" s="28">
        <v>-8924</v>
      </c>
      <c r="F32" s="35">
        <v>1.115</v>
      </c>
      <c r="G32" s="28">
        <v>374425</v>
      </c>
      <c r="H32" t="s">
        <v>40</v>
      </c>
    </row>
    <row r="33" spans="1:8" x14ac:dyDescent="0.25">
      <c r="A33" s="32">
        <v>42185</v>
      </c>
      <c r="B33">
        <v>2018</v>
      </c>
      <c r="C33" s="28">
        <v>224314</v>
      </c>
      <c r="D33" s="28">
        <v>218077</v>
      </c>
      <c r="E33" s="28">
        <v>6237</v>
      </c>
      <c r="F33" s="35">
        <v>0.97199999999999998</v>
      </c>
      <c r="G33" s="28">
        <v>885722</v>
      </c>
      <c r="H33" t="s">
        <v>40</v>
      </c>
    </row>
    <row r="34" spans="1:8" x14ac:dyDescent="0.25">
      <c r="A34" s="32">
        <v>42551</v>
      </c>
      <c r="B34">
        <v>2019</v>
      </c>
      <c r="C34" s="28">
        <v>454618</v>
      </c>
      <c r="D34" s="28">
        <v>411347</v>
      </c>
      <c r="E34" s="28">
        <v>43271</v>
      </c>
      <c r="F34" s="35">
        <v>0.90500000000000003</v>
      </c>
      <c r="G34" s="28">
        <v>1189792</v>
      </c>
      <c r="H34" t="s">
        <v>40</v>
      </c>
    </row>
    <row r="35" spans="1:8" x14ac:dyDescent="0.25">
      <c r="A35" s="32">
        <v>42916</v>
      </c>
      <c r="B35">
        <v>2020</v>
      </c>
      <c r="C35" s="28">
        <v>789467</v>
      </c>
      <c r="D35" s="28">
        <v>742844</v>
      </c>
      <c r="E35" s="28">
        <v>46623</v>
      </c>
      <c r="F35" s="35">
        <v>0.94099999999999995</v>
      </c>
      <c r="G35" s="28">
        <v>1617401</v>
      </c>
      <c r="H35" t="s">
        <v>40</v>
      </c>
    </row>
    <row r="36" spans="1:8" x14ac:dyDescent="0.25">
      <c r="A36" s="32">
        <v>43281</v>
      </c>
      <c r="B36">
        <v>2021</v>
      </c>
      <c r="C36" s="28">
        <v>1250981</v>
      </c>
      <c r="D36" s="28">
        <v>1132286</v>
      </c>
      <c r="E36" s="28">
        <v>118695</v>
      </c>
      <c r="F36" s="35">
        <v>0.90500000000000003</v>
      </c>
      <c r="G36" s="28">
        <v>1755726</v>
      </c>
      <c r="H36" t="s">
        <v>40</v>
      </c>
    </row>
    <row r="37" spans="1:8" x14ac:dyDescent="0.25">
      <c r="A37" s="32">
        <v>43646</v>
      </c>
      <c r="B37">
        <v>2022</v>
      </c>
      <c r="C37" s="28">
        <v>1675612</v>
      </c>
      <c r="D37" s="28">
        <v>1487307</v>
      </c>
      <c r="E37" s="28">
        <v>188305</v>
      </c>
      <c r="F37" s="35">
        <v>0.88800000000000001</v>
      </c>
      <c r="G37" s="28">
        <v>2087105</v>
      </c>
      <c r="H37" t="s">
        <v>40</v>
      </c>
    </row>
    <row r="38" spans="1:8" x14ac:dyDescent="0.25">
      <c r="A38" s="32">
        <v>44012</v>
      </c>
      <c r="B38">
        <v>2023</v>
      </c>
      <c r="C38" s="28">
        <v>2171773</v>
      </c>
      <c r="D38" s="28">
        <v>1897404</v>
      </c>
      <c r="E38" s="28">
        <v>274369</v>
      </c>
      <c r="F38" s="35">
        <v>0.874</v>
      </c>
      <c r="G38" s="28">
        <v>2257715</v>
      </c>
      <c r="H38" t="s">
        <v>40</v>
      </c>
    </row>
    <row r="39" spans="1:8" x14ac:dyDescent="0.25">
      <c r="A39" s="32">
        <v>44377</v>
      </c>
      <c r="B39">
        <v>2024</v>
      </c>
      <c r="C39" s="28">
        <v>2864509</v>
      </c>
      <c r="D39" s="28">
        <v>2873030</v>
      </c>
      <c r="E39" s="28">
        <v>-8521</v>
      </c>
      <c r="F39" s="35">
        <v>1.0029999999999999</v>
      </c>
      <c r="G39" s="28">
        <v>2100091</v>
      </c>
      <c r="H39" t="s">
        <v>40</v>
      </c>
    </row>
    <row r="40" spans="1:8" x14ac:dyDescent="0.25">
      <c r="A40" s="32">
        <v>44742</v>
      </c>
      <c r="B40">
        <v>2025</v>
      </c>
      <c r="C40" s="28">
        <v>3299994</v>
      </c>
      <c r="D40" s="28">
        <v>2779495</v>
      </c>
      <c r="E40" s="28">
        <v>520499</v>
      </c>
      <c r="F40" s="35">
        <v>0.84199999999999997</v>
      </c>
      <c r="G40" s="28">
        <v>1875970</v>
      </c>
      <c r="H40" t="s">
        <v>40</v>
      </c>
    </row>
    <row r="41" spans="1:8" x14ac:dyDescent="0.25">
      <c r="A41" s="32">
        <v>45107</v>
      </c>
      <c r="B41">
        <v>2026</v>
      </c>
      <c r="C41" s="28">
        <v>4806489</v>
      </c>
      <c r="D41" s="28">
        <v>4123392</v>
      </c>
      <c r="E41" s="28">
        <v>683097</v>
      </c>
      <c r="F41" s="35">
        <v>0.85799999999999998</v>
      </c>
      <c r="G41" s="28">
        <v>2516820</v>
      </c>
      <c r="H41" t="s">
        <v>40</v>
      </c>
    </row>
    <row r="42" spans="1:8" x14ac:dyDescent="0.25">
      <c r="A42" s="32">
        <v>41820</v>
      </c>
      <c r="B42">
        <v>2017</v>
      </c>
      <c r="C42" s="28">
        <v>36372</v>
      </c>
      <c r="D42" s="28">
        <v>39493</v>
      </c>
      <c r="E42" s="28">
        <v>-3121</v>
      </c>
      <c r="F42" s="35">
        <v>1.0860000000000001</v>
      </c>
      <c r="G42" s="28">
        <v>379384</v>
      </c>
      <c r="H42" t="s">
        <v>76</v>
      </c>
    </row>
    <row r="43" spans="1:8" x14ac:dyDescent="0.25">
      <c r="A43" s="32">
        <v>42185</v>
      </c>
      <c r="B43">
        <v>2018</v>
      </c>
      <c r="C43" s="28">
        <v>94864</v>
      </c>
      <c r="D43" s="28">
        <v>91611</v>
      </c>
      <c r="E43" s="28">
        <v>3253</v>
      </c>
      <c r="F43" s="35">
        <v>0.96599999999999997</v>
      </c>
      <c r="G43" s="28">
        <v>760207</v>
      </c>
      <c r="H43" t="s">
        <v>76</v>
      </c>
    </row>
    <row r="44" spans="1:8" x14ac:dyDescent="0.25">
      <c r="A44" s="32">
        <v>42551</v>
      </c>
      <c r="B44">
        <v>2019</v>
      </c>
      <c r="C44" s="28">
        <v>228912</v>
      </c>
      <c r="D44" s="28">
        <v>206800</v>
      </c>
      <c r="E44" s="28">
        <v>22112</v>
      </c>
      <c r="F44" s="35">
        <v>0.90300000000000002</v>
      </c>
      <c r="G44" s="28">
        <v>1209913</v>
      </c>
      <c r="H44" t="s">
        <v>76</v>
      </c>
    </row>
    <row r="45" spans="1:8" x14ac:dyDescent="0.25">
      <c r="A45" s="32">
        <v>42916</v>
      </c>
      <c r="B45">
        <v>2020</v>
      </c>
      <c r="C45" s="28">
        <v>430332</v>
      </c>
      <c r="D45" s="28">
        <v>408601</v>
      </c>
      <c r="E45" s="28">
        <v>21731</v>
      </c>
      <c r="F45" s="35">
        <v>0.95</v>
      </c>
      <c r="G45" s="28">
        <v>1282271</v>
      </c>
      <c r="H45" t="s">
        <v>76</v>
      </c>
    </row>
    <row r="46" spans="1:8" x14ac:dyDescent="0.25">
      <c r="A46" s="32">
        <v>43281</v>
      </c>
      <c r="B46">
        <v>2021</v>
      </c>
      <c r="C46" s="28">
        <v>715573</v>
      </c>
      <c r="D46" s="28">
        <v>658044</v>
      </c>
      <c r="E46" s="28">
        <v>57529</v>
      </c>
      <c r="F46" s="35">
        <v>0.92</v>
      </c>
      <c r="G46" s="28">
        <v>1487336</v>
      </c>
      <c r="H46" t="s">
        <v>76</v>
      </c>
    </row>
    <row r="47" spans="1:8" x14ac:dyDescent="0.25">
      <c r="A47" s="32">
        <v>43646</v>
      </c>
      <c r="B47">
        <v>2022</v>
      </c>
      <c r="C47" s="28">
        <v>1029551</v>
      </c>
      <c r="D47" s="28">
        <v>939572</v>
      </c>
      <c r="E47" s="28">
        <v>89979</v>
      </c>
      <c r="F47" s="35">
        <v>0.91300000000000003</v>
      </c>
      <c r="G47" s="28">
        <v>2107811</v>
      </c>
      <c r="H47" t="s">
        <v>76</v>
      </c>
    </row>
    <row r="48" spans="1:8" x14ac:dyDescent="0.25">
      <c r="A48" s="32">
        <v>44012</v>
      </c>
      <c r="B48">
        <v>2023</v>
      </c>
      <c r="C48" s="28">
        <v>1439235</v>
      </c>
      <c r="D48" s="28">
        <v>1298725</v>
      </c>
      <c r="E48" s="28">
        <v>140510</v>
      </c>
      <c r="F48" s="35">
        <v>0.90200000000000002</v>
      </c>
      <c r="G48" s="28">
        <v>2234815</v>
      </c>
      <c r="H48" t="s">
        <v>76</v>
      </c>
    </row>
    <row r="49" spans="1:8" x14ac:dyDescent="0.25">
      <c r="A49" s="32">
        <v>44377</v>
      </c>
      <c r="B49">
        <v>2024</v>
      </c>
      <c r="C49" s="28">
        <v>1944122</v>
      </c>
      <c r="D49" s="28">
        <v>2014000</v>
      </c>
      <c r="E49" s="28">
        <v>-69878</v>
      </c>
      <c r="F49" s="35">
        <v>1.036</v>
      </c>
      <c r="G49" s="28">
        <v>2000206</v>
      </c>
      <c r="H49" t="s">
        <v>76</v>
      </c>
    </row>
    <row r="50" spans="1:8" x14ac:dyDescent="0.25">
      <c r="A50" s="32">
        <v>44742</v>
      </c>
      <c r="B50">
        <v>2025</v>
      </c>
      <c r="C50" s="28">
        <v>2465446</v>
      </c>
      <c r="D50" s="28">
        <v>2144927</v>
      </c>
      <c r="E50" s="28">
        <v>320519</v>
      </c>
      <c r="F50" s="35">
        <v>0.87</v>
      </c>
      <c r="G50" s="28">
        <v>2459552</v>
      </c>
      <c r="H50" t="s">
        <v>76</v>
      </c>
    </row>
    <row r="51" spans="1:8" x14ac:dyDescent="0.25">
      <c r="A51" s="32">
        <v>45107</v>
      </c>
      <c r="B51">
        <v>2026</v>
      </c>
      <c r="C51" s="28">
        <v>3170512</v>
      </c>
      <c r="D51" s="28">
        <v>2738165</v>
      </c>
      <c r="E51" s="28">
        <v>432347</v>
      </c>
      <c r="F51" s="35">
        <v>0.86399999999999999</v>
      </c>
      <c r="G51" s="28">
        <v>3161614</v>
      </c>
      <c r="H51" t="s">
        <v>76</v>
      </c>
    </row>
    <row r="52" spans="1:8" x14ac:dyDescent="0.25">
      <c r="A52" s="32">
        <v>41820</v>
      </c>
      <c r="B52">
        <v>2017</v>
      </c>
      <c r="C52" s="28">
        <v>159068080</v>
      </c>
      <c r="E52" s="28">
        <v>41429288</v>
      </c>
      <c r="G52" s="28">
        <v>13894664</v>
      </c>
      <c r="H52" t="s">
        <v>8</v>
      </c>
    </row>
    <row r="53" spans="1:8" x14ac:dyDescent="0.25">
      <c r="A53" s="32">
        <v>42185</v>
      </c>
      <c r="B53">
        <v>2018</v>
      </c>
      <c r="C53" s="28">
        <v>162866542</v>
      </c>
      <c r="E53" s="28">
        <v>48469895</v>
      </c>
      <c r="G53" s="28">
        <v>13841264</v>
      </c>
      <c r="H53" t="s">
        <v>8</v>
      </c>
    </row>
    <row r="54" spans="1:8" x14ac:dyDescent="0.25">
      <c r="A54" s="32">
        <v>42551</v>
      </c>
      <c r="B54">
        <v>2019</v>
      </c>
      <c r="C54" s="28">
        <v>171766055</v>
      </c>
      <c r="E54" s="28">
        <v>59013014</v>
      </c>
      <c r="G54" s="28">
        <v>14750780</v>
      </c>
      <c r="H54" t="s">
        <v>8</v>
      </c>
    </row>
    <row r="55" spans="1:8" x14ac:dyDescent="0.25">
      <c r="A55" s="32">
        <v>42916</v>
      </c>
      <c r="B55">
        <v>2020</v>
      </c>
      <c r="C55" s="28">
        <v>182807994</v>
      </c>
      <c r="E55" s="28">
        <v>59713184</v>
      </c>
      <c r="G55" s="28">
        <v>15481068</v>
      </c>
      <c r="H55" t="s">
        <v>8</v>
      </c>
    </row>
    <row r="56" spans="1:8" x14ac:dyDescent="0.25">
      <c r="A56" s="32">
        <v>43281</v>
      </c>
      <c r="B56">
        <v>2021</v>
      </c>
      <c r="C56" s="28">
        <v>198291955</v>
      </c>
      <c r="E56" s="28">
        <v>67094347</v>
      </c>
      <c r="G56" s="28">
        <v>16261559</v>
      </c>
      <c r="H56" t="s">
        <v>8</v>
      </c>
    </row>
    <row r="57" spans="1:8" x14ac:dyDescent="0.25">
      <c r="A57" s="32">
        <v>43646</v>
      </c>
      <c r="B57">
        <v>2022</v>
      </c>
      <c r="C57" s="28">
        <v>209981430</v>
      </c>
      <c r="E57" s="28">
        <v>69854061</v>
      </c>
      <c r="G57" s="28">
        <v>17046038</v>
      </c>
      <c r="H57" t="s">
        <v>8</v>
      </c>
    </row>
    <row r="58" spans="1:8" x14ac:dyDescent="0.25">
      <c r="A58" s="32">
        <v>44012</v>
      </c>
      <c r="B58">
        <v>2023</v>
      </c>
      <c r="C58" s="28">
        <v>219278233</v>
      </c>
      <c r="E58" s="28">
        <v>74502630</v>
      </c>
      <c r="G58" s="28">
        <v>17471687</v>
      </c>
      <c r="H58" t="s">
        <v>8</v>
      </c>
    </row>
    <row r="59" spans="1:8" x14ac:dyDescent="0.25">
      <c r="A59" s="32">
        <v>44377</v>
      </c>
      <c r="B59">
        <v>2024</v>
      </c>
      <c r="C59" s="28">
        <v>232933484</v>
      </c>
      <c r="E59" s="28">
        <v>57792219</v>
      </c>
      <c r="G59" s="28">
        <v>15910111</v>
      </c>
      <c r="H59" t="s">
        <v>8</v>
      </c>
    </row>
    <row r="60" spans="1:8" x14ac:dyDescent="0.25">
      <c r="A60" s="32">
        <v>44742</v>
      </c>
      <c r="B60">
        <v>2025</v>
      </c>
      <c r="C60" s="28">
        <v>243265487</v>
      </c>
      <c r="E60" s="28">
        <v>84956834</v>
      </c>
      <c r="G60" s="28">
        <v>15486824</v>
      </c>
      <c r="H60" t="s">
        <v>8</v>
      </c>
    </row>
    <row r="61" spans="1:8" x14ac:dyDescent="0.25">
      <c r="A61" s="32">
        <v>45107</v>
      </c>
      <c r="B61">
        <v>2026</v>
      </c>
      <c r="C61" s="28">
        <v>253499942</v>
      </c>
      <c r="E61" s="28">
        <v>89246893</v>
      </c>
      <c r="G61" s="28">
        <v>16828475</v>
      </c>
      <c r="H61" t="s">
        <v>8</v>
      </c>
    </row>
  </sheetData>
  <hyperlinks>
    <hyperlink ref="R2" location="TOC" display="Back to TOC" xr:uid="{1BB72606-5FE9-45A2-B673-172A1AC49D55}"/>
  </hyperlinks>
  <pageMargins left="0.75" right="0.75" top="1" bottom="1" header="0.5" footer="0.5"/>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N7"/>
  <sheetViews>
    <sheetView workbookViewId="0">
      <selection activeCell="N2" sqref="N2"/>
    </sheetView>
  </sheetViews>
  <sheetFormatPr defaultRowHeight="15" x14ac:dyDescent="0.25"/>
  <cols>
    <col min="1" max="1" width="24" bestFit="1" customWidth="1"/>
    <col min="2" max="2" width="14.140625" customWidth="1"/>
    <col min="3" max="3" width="13.28515625" bestFit="1" customWidth="1"/>
    <col min="14" max="14" width="11.7109375" bestFit="1" customWidth="1"/>
  </cols>
  <sheetData>
    <row r="1" spans="1:14" s="16" customFormat="1" x14ac:dyDescent="0.25">
      <c r="A1" s="16" t="s">
        <v>0</v>
      </c>
      <c r="B1" s="16" t="s">
        <v>1</v>
      </c>
      <c r="C1" s="16" t="s">
        <v>2</v>
      </c>
    </row>
    <row r="2" spans="1:14" ht="15.75" customHeight="1" x14ac:dyDescent="0.25">
      <c r="A2" s="27" t="s">
        <v>3</v>
      </c>
      <c r="B2" s="28">
        <v>62455219</v>
      </c>
      <c r="C2" s="28">
        <v>5496179</v>
      </c>
      <c r="N2" s="62" t="s">
        <v>131</v>
      </c>
    </row>
    <row r="3" spans="1:14" ht="15.75" customHeight="1" x14ac:dyDescent="0.25">
      <c r="A3" s="27" t="s">
        <v>4</v>
      </c>
      <c r="B3" s="28">
        <v>25359525</v>
      </c>
      <c r="C3" s="28">
        <v>2430053</v>
      </c>
    </row>
    <row r="4" spans="1:14" ht="15.75" customHeight="1" x14ac:dyDescent="0.25">
      <c r="A4" s="27" t="s">
        <v>5</v>
      </c>
      <c r="B4" s="28">
        <v>316705</v>
      </c>
      <c r="C4" s="28">
        <v>22609</v>
      </c>
    </row>
    <row r="5" spans="1:14" ht="15.75" customHeight="1" x14ac:dyDescent="0.25">
      <c r="A5" s="27" t="s">
        <v>6</v>
      </c>
      <c r="B5" s="28">
        <v>683097</v>
      </c>
      <c r="C5" s="28">
        <v>50642</v>
      </c>
    </row>
    <row r="6" spans="1:14" ht="15.75" customHeight="1" x14ac:dyDescent="0.25">
      <c r="A6" s="27" t="s">
        <v>7</v>
      </c>
      <c r="B6" s="28">
        <v>432347</v>
      </c>
      <c r="C6" s="28">
        <v>24095</v>
      </c>
    </row>
    <row r="7" spans="1:14" ht="15.75" customHeight="1" x14ac:dyDescent="0.25">
      <c r="A7" s="27" t="s">
        <v>8</v>
      </c>
      <c r="B7" s="28">
        <f>SUM(B2:B6)</f>
        <v>89246893</v>
      </c>
      <c r="C7" s="28">
        <f>SUM(C2:C6)</f>
        <v>8023578</v>
      </c>
    </row>
  </sheetData>
  <hyperlinks>
    <hyperlink ref="N2" location="TOC" display="Back to TOC" xr:uid="{21FD413E-71C7-4412-A1A1-54B8A9883C08}"/>
  </hyperlink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E11"/>
  <sheetViews>
    <sheetView workbookViewId="0">
      <selection activeCell="E2" sqref="E2"/>
    </sheetView>
  </sheetViews>
  <sheetFormatPr defaultRowHeight="15" x14ac:dyDescent="0.25"/>
  <cols>
    <col min="1" max="1" width="40.7109375" bestFit="1" customWidth="1"/>
    <col min="2" max="2" width="12.5703125" bestFit="1" customWidth="1"/>
    <col min="3" max="3" width="14" customWidth="1"/>
    <col min="5" max="5" width="11.7109375" bestFit="1" customWidth="1"/>
  </cols>
  <sheetData>
    <row r="1" spans="1:5" s="16" customFormat="1" x14ac:dyDescent="0.25">
      <c r="A1" s="16" t="s">
        <v>9</v>
      </c>
      <c r="B1" s="16" t="s">
        <v>10</v>
      </c>
      <c r="C1" s="16" t="s">
        <v>0</v>
      </c>
    </row>
    <row r="2" spans="1:5" x14ac:dyDescent="0.25">
      <c r="A2" t="s">
        <v>11</v>
      </c>
      <c r="B2" s="34" t="s">
        <v>12</v>
      </c>
      <c r="C2" t="s">
        <v>13</v>
      </c>
      <c r="E2" s="62" t="s">
        <v>131</v>
      </c>
    </row>
    <row r="3" spans="1:5" x14ac:dyDescent="0.25">
      <c r="A3" t="s">
        <v>14</v>
      </c>
      <c r="B3" s="34" t="s">
        <v>15</v>
      </c>
      <c r="C3" t="s">
        <v>13</v>
      </c>
    </row>
    <row r="4" spans="1:5" x14ac:dyDescent="0.25">
      <c r="A4" t="s">
        <v>16</v>
      </c>
      <c r="B4" s="34" t="s">
        <v>17</v>
      </c>
      <c r="C4" t="s">
        <v>13</v>
      </c>
    </row>
    <row r="5" spans="1:5" x14ac:dyDescent="0.25">
      <c r="A5" t="s">
        <v>18</v>
      </c>
      <c r="B5" s="34" t="s">
        <v>19</v>
      </c>
      <c r="C5" t="s">
        <v>13</v>
      </c>
    </row>
    <row r="6" spans="1:5" x14ac:dyDescent="0.25">
      <c r="A6" t="s">
        <v>20</v>
      </c>
      <c r="B6" s="33" t="s">
        <v>21</v>
      </c>
      <c r="C6" t="s">
        <v>13</v>
      </c>
    </row>
    <row r="7" spans="1:5" x14ac:dyDescent="0.25">
      <c r="A7" t="s">
        <v>11</v>
      </c>
      <c r="B7" s="34" t="s">
        <v>22</v>
      </c>
      <c r="C7" t="s">
        <v>23</v>
      </c>
    </row>
    <row r="8" spans="1:5" x14ac:dyDescent="0.25">
      <c r="A8" t="s">
        <v>14</v>
      </c>
      <c r="B8" s="34" t="s">
        <v>24</v>
      </c>
      <c r="C8" t="s">
        <v>23</v>
      </c>
    </row>
    <row r="9" spans="1:5" x14ac:dyDescent="0.25">
      <c r="A9" t="s">
        <v>16</v>
      </c>
      <c r="B9" s="34" t="s">
        <v>25</v>
      </c>
      <c r="C9" t="s">
        <v>23</v>
      </c>
    </row>
    <row r="10" spans="1:5" x14ac:dyDescent="0.25">
      <c r="A10" t="s">
        <v>18</v>
      </c>
      <c r="B10" s="34" t="s">
        <v>26</v>
      </c>
      <c r="C10" t="s">
        <v>23</v>
      </c>
    </row>
    <row r="11" spans="1:5" x14ac:dyDescent="0.25">
      <c r="A11" t="s">
        <v>20</v>
      </c>
      <c r="B11" s="33" t="s">
        <v>27</v>
      </c>
      <c r="C11" t="s">
        <v>23</v>
      </c>
    </row>
  </sheetData>
  <hyperlinks>
    <hyperlink ref="E2" location="TOC" display="Back to TOC" xr:uid="{2EEBA143-09E5-4CD2-B6EC-B231224D36E4}"/>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D6"/>
  <sheetViews>
    <sheetView workbookViewId="0">
      <selection activeCell="D2" sqref="D2"/>
    </sheetView>
  </sheetViews>
  <sheetFormatPr defaultRowHeight="15" x14ac:dyDescent="0.25"/>
  <cols>
    <col min="1" max="1" width="21" bestFit="1" customWidth="1"/>
    <col min="2" max="2" width="12.85546875" bestFit="1" customWidth="1"/>
    <col min="4" max="4" width="11.7109375" bestFit="1" customWidth="1"/>
  </cols>
  <sheetData>
    <row r="1" spans="1:4" s="16" customFormat="1" x14ac:dyDescent="0.25">
      <c r="A1" s="16" t="s">
        <v>0</v>
      </c>
      <c r="B1" s="16" t="s">
        <v>82</v>
      </c>
    </row>
    <row r="2" spans="1:4" x14ac:dyDescent="0.25">
      <c r="A2" t="s">
        <v>13</v>
      </c>
      <c r="B2" s="35">
        <v>0.64</v>
      </c>
      <c r="D2" s="62" t="s">
        <v>131</v>
      </c>
    </row>
    <row r="3" spans="1:4" x14ac:dyDescent="0.25">
      <c r="A3" t="s">
        <v>74</v>
      </c>
      <c r="B3" s="35">
        <v>0.63800000000000001</v>
      </c>
    </row>
    <row r="4" spans="1:4" x14ac:dyDescent="0.25">
      <c r="A4" t="s">
        <v>75</v>
      </c>
      <c r="B4" s="35">
        <v>0.85099999999999998</v>
      </c>
    </row>
    <row r="5" spans="1:4" x14ac:dyDescent="0.25">
      <c r="A5" t="s">
        <v>40</v>
      </c>
      <c r="B5" s="35">
        <v>0.85799999999999998</v>
      </c>
    </row>
    <row r="6" spans="1:4" x14ac:dyDescent="0.25">
      <c r="A6" t="s">
        <v>76</v>
      </c>
      <c r="B6" s="35">
        <v>0.86399999999999999</v>
      </c>
    </row>
  </sheetData>
  <conditionalFormatting sqref="B2:B6">
    <cfRule type="colorScale" priority="1">
      <colorScale>
        <cfvo type="min"/>
        <cfvo type="percentile" val="50"/>
        <cfvo type="max"/>
        <color rgb="FFF8696B"/>
        <color rgb="FFFFEB84"/>
        <color rgb="FF63BE7B"/>
      </colorScale>
    </cfRule>
  </conditionalFormatting>
  <hyperlinks>
    <hyperlink ref="D2" location="TOC" display="Back to TOC" xr:uid="{E9A740D2-7822-4F7F-9616-EA20ED6FE8CE}"/>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G9"/>
  <sheetViews>
    <sheetView workbookViewId="0">
      <selection activeCell="G2" sqref="G2"/>
    </sheetView>
  </sheetViews>
  <sheetFormatPr defaultRowHeight="15" x14ac:dyDescent="0.25"/>
  <cols>
    <col min="1" max="1" width="40.7109375" bestFit="1" customWidth="1"/>
    <col min="2" max="2" width="23.7109375" customWidth="1"/>
    <col min="3" max="3" width="20.28515625" customWidth="1"/>
    <col min="4" max="4" width="20.5703125" customWidth="1"/>
    <col min="5" max="5" width="16.140625" customWidth="1"/>
    <col min="7" max="7" width="11.7109375" bestFit="1" customWidth="1"/>
  </cols>
  <sheetData>
    <row r="1" spans="1:7" x14ac:dyDescent="0.25">
      <c r="A1" t="s">
        <v>28</v>
      </c>
      <c r="B1" t="s">
        <v>29</v>
      </c>
      <c r="C1" t="s">
        <v>30</v>
      </c>
      <c r="D1" t="s">
        <v>31</v>
      </c>
      <c r="E1" t="s">
        <v>0</v>
      </c>
    </row>
    <row r="2" spans="1:7" x14ac:dyDescent="0.25">
      <c r="A2" t="s">
        <v>32</v>
      </c>
      <c r="B2" s="28">
        <v>195635389</v>
      </c>
      <c r="C2" s="28">
        <v>173318081</v>
      </c>
      <c r="D2" s="28">
        <v>154902181</v>
      </c>
      <c r="E2" t="s">
        <v>13</v>
      </c>
      <c r="G2" s="62" t="s">
        <v>131</v>
      </c>
    </row>
    <row r="3" spans="1:7" x14ac:dyDescent="0.25">
      <c r="A3" t="s">
        <v>33</v>
      </c>
      <c r="B3" s="28">
        <v>110862862</v>
      </c>
      <c r="C3" s="28">
        <v>110862862</v>
      </c>
      <c r="D3" s="28">
        <v>110862862</v>
      </c>
      <c r="E3" t="s">
        <v>13</v>
      </c>
    </row>
    <row r="4" spans="1:7" x14ac:dyDescent="0.25">
      <c r="A4" t="s">
        <v>34</v>
      </c>
      <c r="B4" s="28">
        <v>84772527</v>
      </c>
      <c r="C4" s="28">
        <v>62455219</v>
      </c>
      <c r="D4" s="28">
        <v>44039319</v>
      </c>
      <c r="E4" t="s">
        <v>13</v>
      </c>
    </row>
    <row r="5" spans="1:7" x14ac:dyDescent="0.25">
      <c r="A5" t="s">
        <v>35</v>
      </c>
      <c r="B5" s="36">
        <v>0.56699999999999995</v>
      </c>
      <c r="C5" s="36">
        <v>0.64</v>
      </c>
      <c r="D5" s="36">
        <v>0.71599999999999997</v>
      </c>
      <c r="E5" t="s">
        <v>13</v>
      </c>
    </row>
    <row r="6" spans="1:7" x14ac:dyDescent="0.25">
      <c r="A6" t="s">
        <v>32</v>
      </c>
      <c r="B6" s="28">
        <v>78804270</v>
      </c>
      <c r="C6" s="28">
        <v>70083838</v>
      </c>
      <c r="D6" s="28">
        <v>62839649</v>
      </c>
      <c r="E6" t="s">
        <v>23</v>
      </c>
    </row>
    <row r="7" spans="1:7" x14ac:dyDescent="0.25">
      <c r="A7" t="s">
        <v>33</v>
      </c>
      <c r="B7" s="28">
        <v>44724313</v>
      </c>
      <c r="C7" s="28">
        <v>44724313</v>
      </c>
      <c r="D7" s="28">
        <v>44724313</v>
      </c>
      <c r="E7" t="s">
        <v>23</v>
      </c>
    </row>
    <row r="8" spans="1:7" x14ac:dyDescent="0.25">
      <c r="A8" t="s">
        <v>34</v>
      </c>
      <c r="B8" s="28">
        <v>34079957</v>
      </c>
      <c r="C8" s="28">
        <v>25359525</v>
      </c>
      <c r="D8" s="28">
        <v>18115336</v>
      </c>
      <c r="E8" t="s">
        <v>23</v>
      </c>
    </row>
    <row r="9" spans="1:7" x14ac:dyDescent="0.25">
      <c r="A9" t="s">
        <v>35</v>
      </c>
      <c r="B9" s="36">
        <v>0.56799999999999995</v>
      </c>
      <c r="C9" s="36">
        <v>0.63800000000000001</v>
      </c>
      <c r="D9" s="36">
        <v>0.71199999999999997</v>
      </c>
      <c r="E9" t="s">
        <v>23</v>
      </c>
    </row>
  </sheetData>
  <hyperlinks>
    <hyperlink ref="G2" location="TOC" display="Back to TOC" xr:uid="{59435762-918F-41E2-9C57-C1CBE83EC895}"/>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H15"/>
  <sheetViews>
    <sheetView workbookViewId="0">
      <selection activeCell="A16" sqref="A16"/>
    </sheetView>
  </sheetViews>
  <sheetFormatPr defaultRowHeight="15" x14ac:dyDescent="0.25"/>
  <cols>
    <col min="1" max="1" width="14.28515625" bestFit="1" customWidth="1"/>
    <col min="2" max="2" width="47.5703125" customWidth="1"/>
    <col min="3" max="3" width="20.42578125" customWidth="1"/>
    <col min="4" max="4" width="20.7109375" style="31" customWidth="1"/>
    <col min="5" max="5" width="23" style="31" bestFit="1" customWidth="1"/>
    <col min="6" max="6" width="13.140625" bestFit="1" customWidth="1"/>
    <col min="8" max="8" width="11.7109375" bestFit="1" customWidth="1"/>
  </cols>
  <sheetData>
    <row r="1" spans="1:8" x14ac:dyDescent="0.25">
      <c r="A1" s="7" t="s">
        <v>69</v>
      </c>
      <c r="B1" s="21" t="s">
        <v>70</v>
      </c>
      <c r="C1" s="21" t="s">
        <v>71</v>
      </c>
      <c r="D1" s="29" t="s">
        <v>72</v>
      </c>
      <c r="E1" s="30" t="s">
        <v>73</v>
      </c>
      <c r="F1" s="26" t="s">
        <v>0</v>
      </c>
    </row>
    <row r="2" spans="1:8" x14ac:dyDescent="0.25">
      <c r="A2" s="10">
        <v>42916</v>
      </c>
      <c r="B2" s="35">
        <v>0.67</v>
      </c>
      <c r="C2" s="35">
        <v>0.41</v>
      </c>
      <c r="D2" s="41">
        <v>12.2</v>
      </c>
      <c r="E2" s="42">
        <v>18</v>
      </c>
      <c r="F2" t="s">
        <v>13</v>
      </c>
      <c r="H2" s="62" t="s">
        <v>131</v>
      </c>
    </row>
    <row r="3" spans="1:8" x14ac:dyDescent="0.25">
      <c r="A3" s="11">
        <v>43281</v>
      </c>
      <c r="B3" s="35">
        <v>0.65</v>
      </c>
      <c r="C3" s="35">
        <v>0.4</v>
      </c>
      <c r="D3" s="41">
        <v>12.5</v>
      </c>
      <c r="E3" s="43">
        <v>18.8</v>
      </c>
      <c r="F3" t="s">
        <v>13</v>
      </c>
    </row>
    <row r="4" spans="1:8" x14ac:dyDescent="0.25">
      <c r="A4" s="10">
        <v>43646</v>
      </c>
      <c r="B4" s="35">
        <v>0.68</v>
      </c>
      <c r="C4" s="35">
        <v>0.34</v>
      </c>
      <c r="D4" s="41">
        <v>14</v>
      </c>
      <c r="E4" s="42">
        <v>21</v>
      </c>
      <c r="F4" t="s">
        <v>13</v>
      </c>
    </row>
    <row r="5" spans="1:8" x14ac:dyDescent="0.25">
      <c r="A5" s="11">
        <v>44012</v>
      </c>
      <c r="B5" s="35">
        <v>0.67</v>
      </c>
      <c r="C5" s="35">
        <v>0.31</v>
      </c>
      <c r="D5" s="44">
        <v>14.4</v>
      </c>
      <c r="E5" s="43">
        <v>21.9</v>
      </c>
      <c r="F5" t="s">
        <v>13</v>
      </c>
    </row>
    <row r="6" spans="1:8" x14ac:dyDescent="0.25">
      <c r="A6" s="10">
        <v>44377</v>
      </c>
      <c r="B6" s="35">
        <v>0.68</v>
      </c>
      <c r="C6" s="35">
        <v>0.28000000000000003</v>
      </c>
      <c r="D6" s="41">
        <v>19</v>
      </c>
      <c r="E6" s="42">
        <v>25.4</v>
      </c>
      <c r="F6" t="s">
        <v>13</v>
      </c>
    </row>
    <row r="7" spans="1:8" x14ac:dyDescent="0.25">
      <c r="A7" s="11">
        <v>44742</v>
      </c>
      <c r="B7" s="35">
        <v>0.71</v>
      </c>
      <c r="C7" s="35">
        <v>0.23</v>
      </c>
      <c r="D7" s="44">
        <v>19.2</v>
      </c>
      <c r="E7" s="43">
        <v>29.8</v>
      </c>
      <c r="F7" t="s">
        <v>13</v>
      </c>
    </row>
    <row r="8" spans="1:8" x14ac:dyDescent="0.25">
      <c r="A8" s="12">
        <v>45107</v>
      </c>
      <c r="B8" s="35">
        <v>0.73</v>
      </c>
      <c r="C8" s="35">
        <v>0.21</v>
      </c>
      <c r="D8" s="45">
        <v>19.7</v>
      </c>
      <c r="E8" s="46">
        <v>30.8</v>
      </c>
      <c r="F8" t="s">
        <v>13</v>
      </c>
    </row>
    <row r="9" spans="1:8" x14ac:dyDescent="0.25">
      <c r="A9" s="10">
        <v>42916</v>
      </c>
      <c r="B9" s="35">
        <v>0.56000000000000005</v>
      </c>
      <c r="C9" s="35">
        <v>0.49</v>
      </c>
      <c r="D9" s="41">
        <v>7.1</v>
      </c>
      <c r="E9" s="42">
        <v>10.8</v>
      </c>
      <c r="F9" t="s">
        <v>23</v>
      </c>
    </row>
    <row r="10" spans="1:8" x14ac:dyDescent="0.25">
      <c r="A10" s="11">
        <v>43281</v>
      </c>
      <c r="B10" s="35">
        <v>0.55000000000000004</v>
      </c>
      <c r="C10" s="35">
        <v>0.45</v>
      </c>
      <c r="D10" s="44">
        <v>7.5</v>
      </c>
      <c r="E10" s="43">
        <v>11.5</v>
      </c>
      <c r="F10" t="s">
        <v>23</v>
      </c>
    </row>
    <row r="11" spans="1:8" x14ac:dyDescent="0.25">
      <c r="A11" s="10">
        <v>43646</v>
      </c>
      <c r="B11" s="35">
        <v>0.61</v>
      </c>
      <c r="C11" s="35">
        <v>0.42</v>
      </c>
      <c r="D11" s="41">
        <v>7.9</v>
      </c>
      <c r="E11" s="42">
        <v>12.1</v>
      </c>
      <c r="F11" t="s">
        <v>23</v>
      </c>
    </row>
    <row r="12" spans="1:8" x14ac:dyDescent="0.25">
      <c r="A12" s="11">
        <v>44012</v>
      </c>
      <c r="B12" s="35">
        <v>0.61</v>
      </c>
      <c r="C12" s="35">
        <v>0.38</v>
      </c>
      <c r="D12" s="44">
        <v>8.1</v>
      </c>
      <c r="E12" s="43">
        <v>12.4</v>
      </c>
      <c r="F12" t="s">
        <v>23</v>
      </c>
    </row>
    <row r="13" spans="1:8" x14ac:dyDescent="0.25">
      <c r="A13" s="10">
        <v>44377</v>
      </c>
      <c r="B13" s="35">
        <v>0.59</v>
      </c>
      <c r="C13" s="35">
        <v>0.32</v>
      </c>
      <c r="D13" s="41">
        <v>12</v>
      </c>
      <c r="E13" s="42">
        <v>16.2</v>
      </c>
      <c r="F13" t="s">
        <v>23</v>
      </c>
    </row>
    <row r="14" spans="1:8" x14ac:dyDescent="0.25">
      <c r="A14" s="11">
        <v>44742</v>
      </c>
      <c r="B14" s="35">
        <v>0.6</v>
      </c>
      <c r="C14" s="35">
        <v>0.28000000000000003</v>
      </c>
      <c r="D14" s="44">
        <v>11</v>
      </c>
      <c r="E14" s="43">
        <v>17.100000000000001</v>
      </c>
      <c r="F14" t="s">
        <v>23</v>
      </c>
    </row>
    <row r="15" spans="1:8" x14ac:dyDescent="0.25">
      <c r="A15" s="12">
        <v>45107</v>
      </c>
      <c r="B15" s="35">
        <v>0.63</v>
      </c>
      <c r="C15" s="35">
        <v>0.23</v>
      </c>
      <c r="D15" s="45">
        <v>11.9</v>
      </c>
      <c r="E15" s="46">
        <v>18.600000000000001</v>
      </c>
      <c r="F15" t="s">
        <v>23</v>
      </c>
    </row>
  </sheetData>
  <conditionalFormatting sqref="B2:B15">
    <cfRule type="colorScale" priority="4">
      <colorScale>
        <cfvo type="min"/>
        <cfvo type="percentile" val="50"/>
        <cfvo type="max"/>
        <color rgb="FF63BE7B"/>
        <color rgb="FFFFEB84"/>
        <color rgb="FFF8696B"/>
      </colorScale>
    </cfRule>
  </conditionalFormatting>
  <conditionalFormatting sqref="C2:C15">
    <cfRule type="colorScale" priority="3">
      <colorScale>
        <cfvo type="min"/>
        <cfvo type="percentile" val="50"/>
        <cfvo type="max"/>
        <color rgb="FFF8696B"/>
        <color rgb="FFFFEB84"/>
        <color rgb="FF63BE7B"/>
      </colorScale>
    </cfRule>
  </conditionalFormatting>
  <conditionalFormatting sqref="D2:D15">
    <cfRule type="colorScale" priority="2">
      <colorScale>
        <cfvo type="min"/>
        <cfvo type="percentile" val="50"/>
        <cfvo type="max"/>
        <color rgb="FF63BE7B"/>
        <color rgb="FFFFEB84"/>
        <color rgb="FFF8696B"/>
      </colorScale>
    </cfRule>
  </conditionalFormatting>
  <conditionalFormatting sqref="E2:E15">
    <cfRule type="colorScale" priority="1">
      <colorScale>
        <cfvo type="min"/>
        <cfvo type="percentile" val="50"/>
        <cfvo type="max"/>
        <color rgb="FF63BE7B"/>
        <color rgb="FFFFEB84"/>
        <color rgb="FFF8696B"/>
      </colorScale>
    </cfRule>
  </conditionalFormatting>
  <hyperlinks>
    <hyperlink ref="H2" location="TOC" display="Back to TOC" xr:uid="{BEE17678-A5FE-40E1-9BA8-D3DB6A0A25BC}"/>
  </hyperlinks>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E7"/>
  <sheetViews>
    <sheetView workbookViewId="0">
      <selection activeCell="E2" sqref="E2"/>
    </sheetView>
  </sheetViews>
  <sheetFormatPr defaultRowHeight="15" x14ac:dyDescent="0.25"/>
  <cols>
    <col min="1" max="1" width="23.5703125" bestFit="1" customWidth="1"/>
    <col min="2" max="2" width="12.42578125" bestFit="1" customWidth="1"/>
    <col min="3" max="3" width="17.5703125" customWidth="1"/>
    <col min="5" max="5" width="11.7109375" bestFit="1" customWidth="1"/>
  </cols>
  <sheetData>
    <row r="1" spans="1:5" x14ac:dyDescent="0.25">
      <c r="A1" t="s">
        <v>49</v>
      </c>
      <c r="B1" t="s">
        <v>50</v>
      </c>
      <c r="C1" t="s">
        <v>0</v>
      </c>
    </row>
    <row r="2" spans="1:5" x14ac:dyDescent="0.25">
      <c r="A2" t="s">
        <v>51</v>
      </c>
      <c r="B2" s="54">
        <v>31</v>
      </c>
      <c r="C2" t="s">
        <v>13</v>
      </c>
      <c r="E2" s="62" t="s">
        <v>131</v>
      </c>
    </row>
    <row r="3" spans="1:5" x14ac:dyDescent="0.25">
      <c r="A3" t="s">
        <v>52</v>
      </c>
      <c r="B3" s="54">
        <v>146</v>
      </c>
      <c r="C3" t="s">
        <v>13</v>
      </c>
    </row>
    <row r="4" spans="1:5" x14ac:dyDescent="0.25">
      <c r="A4" t="s">
        <v>53</v>
      </c>
      <c r="B4" s="55">
        <v>0.21</v>
      </c>
      <c r="C4" t="s">
        <v>13</v>
      </c>
    </row>
    <row r="5" spans="1:5" x14ac:dyDescent="0.25">
      <c r="A5" t="s">
        <v>51</v>
      </c>
      <c r="B5" s="54">
        <v>41</v>
      </c>
      <c r="C5" t="s">
        <v>23</v>
      </c>
    </row>
    <row r="6" spans="1:5" x14ac:dyDescent="0.25">
      <c r="A6" t="s">
        <v>52</v>
      </c>
      <c r="B6" s="54">
        <v>178</v>
      </c>
      <c r="C6" t="s">
        <v>23</v>
      </c>
    </row>
    <row r="7" spans="1:5" x14ac:dyDescent="0.25">
      <c r="A7" t="s">
        <v>53</v>
      </c>
      <c r="B7" s="55">
        <v>0.23</v>
      </c>
      <c r="C7" t="s">
        <v>23</v>
      </c>
    </row>
  </sheetData>
  <hyperlinks>
    <hyperlink ref="E2" location="TOC" display="Back to TOC" xr:uid="{528B52D6-3FE5-4D9E-9B68-DF5C99C12D4B}"/>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E11"/>
  <sheetViews>
    <sheetView workbookViewId="0">
      <selection activeCell="E2" sqref="E2"/>
    </sheetView>
  </sheetViews>
  <sheetFormatPr defaultRowHeight="15" x14ac:dyDescent="0.25"/>
  <cols>
    <col min="1" max="1" width="37.140625" bestFit="1" customWidth="1"/>
    <col min="2" max="2" width="12.42578125" bestFit="1" customWidth="1"/>
    <col min="3" max="3" width="13.140625" bestFit="1" customWidth="1"/>
    <col min="5" max="5" width="11.7109375" bestFit="1" customWidth="1"/>
  </cols>
  <sheetData>
    <row r="1" spans="1:5" x14ac:dyDescent="0.25">
      <c r="A1" s="1" t="s">
        <v>49</v>
      </c>
      <c r="B1" s="22" t="s">
        <v>50</v>
      </c>
      <c r="C1" t="s">
        <v>0</v>
      </c>
    </row>
    <row r="2" spans="1:5" x14ac:dyDescent="0.25">
      <c r="A2" s="4" t="s">
        <v>54</v>
      </c>
      <c r="B2" s="23" t="s">
        <v>55</v>
      </c>
      <c r="C2" t="s">
        <v>13</v>
      </c>
      <c r="E2" s="62" t="s">
        <v>131</v>
      </c>
    </row>
    <row r="3" spans="1:5" x14ac:dyDescent="0.25">
      <c r="A3" s="1" t="s">
        <v>56</v>
      </c>
      <c r="B3" s="22" t="s">
        <v>57</v>
      </c>
      <c r="C3" t="s">
        <v>13</v>
      </c>
    </row>
    <row r="4" spans="1:5" x14ac:dyDescent="0.25">
      <c r="A4" s="4" t="s">
        <v>58</v>
      </c>
      <c r="B4" s="23" t="s">
        <v>59</v>
      </c>
      <c r="C4" t="s">
        <v>13</v>
      </c>
    </row>
    <row r="5" spans="1:5" x14ac:dyDescent="0.25">
      <c r="A5" s="1" t="s">
        <v>60</v>
      </c>
      <c r="B5" s="22" t="s">
        <v>61</v>
      </c>
      <c r="C5" t="s">
        <v>13</v>
      </c>
    </row>
    <row r="6" spans="1:5" x14ac:dyDescent="0.25">
      <c r="A6" s="24" t="s">
        <v>62</v>
      </c>
      <c r="B6" s="39" t="s">
        <v>63</v>
      </c>
      <c r="C6" t="s">
        <v>13</v>
      </c>
    </row>
    <row r="7" spans="1:5" x14ac:dyDescent="0.25">
      <c r="A7" s="4" t="s">
        <v>54</v>
      </c>
      <c r="B7" s="23" t="s">
        <v>64</v>
      </c>
      <c r="C7" t="s">
        <v>23</v>
      </c>
    </row>
    <row r="8" spans="1:5" x14ac:dyDescent="0.25">
      <c r="A8" s="1" t="s">
        <v>56</v>
      </c>
      <c r="B8" s="22" t="s">
        <v>65</v>
      </c>
      <c r="C8" t="s">
        <v>23</v>
      </c>
    </row>
    <row r="9" spans="1:5" x14ac:dyDescent="0.25">
      <c r="A9" s="4" t="s">
        <v>58</v>
      </c>
      <c r="B9" s="40" t="s">
        <v>66</v>
      </c>
      <c r="C9" t="s">
        <v>23</v>
      </c>
    </row>
    <row r="10" spans="1:5" x14ac:dyDescent="0.25">
      <c r="A10" s="1" t="s">
        <v>60</v>
      </c>
      <c r="B10" s="22" t="s">
        <v>67</v>
      </c>
      <c r="C10" t="s">
        <v>23</v>
      </c>
    </row>
    <row r="11" spans="1:5" x14ac:dyDescent="0.25">
      <c r="A11" s="24" t="s">
        <v>62</v>
      </c>
      <c r="B11" s="25" t="s">
        <v>68</v>
      </c>
      <c r="C11" t="s">
        <v>23</v>
      </c>
    </row>
  </sheetData>
  <hyperlinks>
    <hyperlink ref="E2" location="TOC" display="Back to TOC" xr:uid="{9996344B-B508-42B0-9FF6-8D42E9492F15}"/>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D4"/>
  <sheetViews>
    <sheetView workbookViewId="0">
      <selection activeCell="H14" sqref="H14"/>
    </sheetView>
  </sheetViews>
  <sheetFormatPr defaultRowHeight="15" x14ac:dyDescent="0.25"/>
  <cols>
    <col min="2" max="2" width="12.28515625" bestFit="1" customWidth="1"/>
    <col min="4" max="4" width="11.7109375" bestFit="1" customWidth="1"/>
  </cols>
  <sheetData>
    <row r="1" spans="1:4" x14ac:dyDescent="0.25">
      <c r="A1" s="16" t="s">
        <v>36</v>
      </c>
      <c r="B1" t="s">
        <v>42</v>
      </c>
    </row>
    <row r="2" spans="1:4" x14ac:dyDescent="0.25">
      <c r="A2">
        <v>2026</v>
      </c>
      <c r="B2" s="28">
        <v>5496179</v>
      </c>
      <c r="D2" s="62" t="s">
        <v>131</v>
      </c>
    </row>
    <row r="3" spans="1:4" x14ac:dyDescent="0.25">
      <c r="A3">
        <v>2025</v>
      </c>
      <c r="B3" s="28">
        <v>5245262</v>
      </c>
    </row>
    <row r="4" spans="1:4" x14ac:dyDescent="0.25">
      <c r="A4">
        <v>2024</v>
      </c>
      <c r="B4" s="28">
        <v>4145733</v>
      </c>
    </row>
  </sheetData>
  <hyperlinks>
    <hyperlink ref="D2" location="TOC" display="Back to TOC" xr:uid="{F06D02C8-1757-48A5-87FC-AD2F0E7DD84A}"/>
  </hyperlink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17</vt:i4>
      </vt:variant>
    </vt:vector>
  </HeadingPairs>
  <TitlesOfParts>
    <vt:vector size="33" baseType="lpstr">
      <vt:lpstr>Cover</vt:lpstr>
      <vt:lpstr>Table of Contents</vt:lpstr>
      <vt:lpstr>Amort Sch</vt:lpstr>
      <vt:lpstr>Proj Emply Contrib</vt:lpstr>
      <vt:lpstr>Projected Amortization Schedule</vt:lpstr>
      <vt:lpstr>Employer Contribution History</vt:lpstr>
      <vt:lpstr>Funded History</vt:lpstr>
      <vt:lpstr>Funding History</vt:lpstr>
      <vt:lpstr>UAL Summary</vt:lpstr>
      <vt:lpstr>Funded Ratio</vt:lpstr>
      <vt:lpstr>Funded Ratio1</vt:lpstr>
      <vt:lpstr>Funded Ratio Discount Rate</vt:lpstr>
      <vt:lpstr>Liability Volatility Ratio</vt:lpstr>
      <vt:lpstr>Support Ratio</vt:lpstr>
      <vt:lpstr>Contribution Volatility</vt:lpstr>
      <vt:lpstr>Amort 2026 Classic Safety</vt:lpstr>
      <vt:lpstr>Amort2026</vt:lpstr>
      <vt:lpstr>AmortSch3</vt:lpstr>
      <vt:lpstr>AmrtSch</vt:lpstr>
      <vt:lpstr>CV_15</vt:lpstr>
      <vt:lpstr>EmployerContribHist6</vt:lpstr>
      <vt:lpstr>Funded_Ratio_Discount_Rate12</vt:lpstr>
      <vt:lpstr>FundedHist7</vt:lpstr>
      <vt:lpstr>FundedRatio1_11</vt:lpstr>
      <vt:lpstr>FundedRatio10</vt:lpstr>
      <vt:lpstr>FundingHist8</vt:lpstr>
      <vt:lpstr>LVR_13</vt:lpstr>
      <vt:lpstr>ProjAmortSched5</vt:lpstr>
      <vt:lpstr>ProjEmplContrib4</vt:lpstr>
      <vt:lpstr>ProjEmplyContrib</vt:lpstr>
      <vt:lpstr>SR_14</vt:lpstr>
      <vt:lpstr>TOC</vt:lpstr>
      <vt:lpstr>UALSummary9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Ira Sharenow</dc:creator>
  <cp:lastModifiedBy>Ira Sharenow</cp:lastModifiedBy>
  <dcterms:created xsi:type="dcterms:W3CDTF">2025-06-30T23:03:19Z</dcterms:created>
  <dcterms:modified xsi:type="dcterms:W3CDTF">2025-07-09T18:07:00Z</dcterms:modified>
</cp:coreProperties>
</file>